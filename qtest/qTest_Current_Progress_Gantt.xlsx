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30962c980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rogress" sheetId="1" r:id="R6a0159ecdb4d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dd-m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2" fillId="5" borderId="0" xfId="0" applyNumberFormat="1" applyFont="1" applyFill="1" applyBorder="1"/>
    <x:xf numFmtId="201" fontId="0" fillId="5" borderId="1" xfId="0" applyNumberFormat="1" applyFont="1" applyFill="1" applyBorder="1"/>
    <x:xf numFmtId="201" fontId="2" fillId="5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1" fontId="0" fillId="3" borderId="0" xfId="0" applyNumberFormat="1" applyFont="1" applyFill="1" applyBorder="1"/>
    <x:xf numFmtId="201" fontId="4" fillId="3" borderId="0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0" fillId="3" borderId="1" xfId="0" applyNumberFormat="1" applyFont="1" applyFill="1" applyBorder="1"/>
    <x:xf numFmtId="201" fontId="4" fillId="3" borderId="1" xfId="0" applyNumberFormat="1" applyFont="1" applyFill="1" applyBorder="1"/>
    <x:xf numFmtId="201" fontId="4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201" fontId="4" fillId="3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70AD47"/>
        </x:patternFill>
      </x:fill>
    </x:dxf>
    <x:dxf>
      <x:fill>
        <x:patternFill patternType="solid">
          <x:bgColor rgb="FFFFC000"/>
        </x:patternFill>
      </x:fill>
    </x:dxf>
    <x:dxf>
      <x:fill>
        <x:patternFill patternType="solid">
          <x:bgColor rgb="FFD9E2F3"/>
        </x:patternFill>
      </x:fill>
    </x:dxf>
    <x:dxf>
      <x:fill>
        <x:patternFill patternType="solid">
          <x:bgColor rgb="FFC00000"/>
        </x:patternFill>
      </x:fill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c086173a9493d" /><Relationship Type="http://schemas.openxmlformats.org/officeDocument/2006/relationships/theme" Target="/xl/theme/theme1.xml" Id="R969679d617e64274" /><Relationship Type="http://schemas.openxmlformats.org/officeDocument/2006/relationships/sharedStrings" Target="/xl/sharedStrings.xml" Id="Rdfee1c3c81074937" /><Relationship Type="http://schemas.openxmlformats.org/officeDocument/2006/relationships/worksheet" Target="/xl/worksheets/sheet1.xml" Id="R6a0159ecdb4d4f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  <x:col min="30" max="30" width="4.5" hidden="0" customWidth="1"/>
    <x:col min="31" max="31" width="4.5" hidden="0" customWidth="1"/>
    <x:col min="32" max="32" width="4.5" hidden="0" customWidth="1"/>
    <x:col min="33" max="33" width="4.5" hidden="0" customWidth="1"/>
    <x:col min="34" max="34" width="4.5" hidden="0" customWidth="1"/>
    <x:col min="35" max="35" width="4.5" hidden="0" customWidth="1"/>
    <x:col min="36" max="36" width="4.5" hidden="0" customWidth="1"/>
    <x:col min="37" max="37" width="4.5" hidden="0" customWidth="1"/>
    <x:col min="38" max="38" width="4.5" hidden="0" customWidth="1"/>
    <x:col min="39" max="39" width="4.5" hidden="0" customWidth="1"/>
    <x:col min="40" max="40" width="4.5" hidden="0" customWidth="1"/>
    <x:col min="41" max="41" width="4.5" hidden="0" customWidth="1"/>
    <x:col min="42" max="42" width="4.5" hidden="0" customWidth="1"/>
    <x:col min="43" max="43" width="4.5" hidden="0" customWidth="1"/>
    <x:col min="44" max="44" width="4.5" hidden="0" customWidth="1"/>
    <x:col min="45" max="45" width="4.5" hidden="0" customWidth="1"/>
    <x:col min="46" max="46" width="4.5" hidden="0" customWidth="1"/>
    <x:col min="47" max="47" width="4.5" hidden="0" customWidth="1"/>
    <x:col min="48" max="48" width="4.5" hidden="0" customWidth="1"/>
    <x:col min="49" max="49" width="4.5" hidden="0" customWidth="1"/>
    <x:col min="50" max="50" width="4.5" hidden="0" customWidth="1"/>
    <x:col min="51" max="51" width="4.5" hidden="0" customWidth="1"/>
    <x:col min="52" max="52" width="4.5" hidden="0" customWidth="1"/>
    <x:col min="53" max="53" width="4.5" hidden="0" customWidth="1"/>
    <x:col min="54" max="54" width="4.5" hidden="0" customWidth="1"/>
    <x:col min="55" max="55" width="4.5" hidden="0" customWidth="1"/>
    <x:col min="56" max="56" width="4.5" hidden="0" customWidth="1"/>
    <x:col min="57" max="57" width="4.5" hidden="0" customWidth="1"/>
    <x:col min="58" max="58" width="4.5" hidden="0" customWidth="1"/>
    <x:col min="59" max="59" width="4.5" hidden="0" customWidth="1"/>
    <x:col min="60" max="60" width="4.5" hidden="0" customWidth="1"/>
    <x:col min="61" max="61" width="4.5" hidden="0" customWidth="1"/>
    <x:col min="62" max="62" width="4.5" hidden="0" customWidth="1"/>
    <x:col min="63" max="63" width="4.5" hidden="0" customWidth="1"/>
    <x:col min="64" max="64" width="4.5" hidden="0" customWidth="1"/>
    <x:col min="65" max="65" width="4.5" hidden="0" customWidth="1"/>
    <x:col min="66" max="66" width="4.5" hidden="0" customWidth="1"/>
    <x:col min="1" max="1" width="5" hidden="0" customWidth="1"/>
    <x:col min="2" max="2" width="34" hidden="0" customWidth="1"/>
    <x:col min="3" max="3" width="14" hidden="0" customWidth="1"/>
    <x:col min="4" max="4" width="12" hidden="0" customWidth="1"/>
    <x:col min="5" max="5" width="10" hidden="0" customWidth="1"/>
    <x:col min="6" max="6" width="12" hidden="0" customWidth="1"/>
  </x:cols>
  <x:sheetData>
    <x:row r="1" ht="28" customHeight="1">
      <x:c r="A1" s="58" t="str">
        <x:v>qTest Consolidation – Current Progress Gantt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  <x:c r="AC1" s="59"/>
      <x:c r="AD1" s="59"/>
      <x:c r="AE1" s="59"/>
      <x:c r="AF1" s="59"/>
      <x:c r="AG1" s="59"/>
      <x:c r="AH1" s="59"/>
      <x:c r="AI1" s="59"/>
      <x:c r="AJ1" s="59"/>
      <x:c r="AK1" s="59"/>
      <x:c r="AL1" s="59"/>
      <x:c r="AM1" s="59"/>
      <x:c r="AN1" s="59"/>
      <x:c r="AO1" s="59"/>
      <x:c r="AP1" s="59"/>
      <x:c r="AQ1" s="59"/>
      <x:c r="AR1" s="59"/>
      <x:c r="AS1" s="59"/>
      <x:c r="AT1" s="59"/>
      <x:c r="AU1" s="59"/>
      <x:c r="AV1" s="59"/>
      <x:c r="AW1" s="59"/>
      <x:c r="AX1" s="59"/>
      <x:c r="AY1" s="59"/>
      <x:c r="AZ1" s="59"/>
      <x:c r="BA1" s="59"/>
      <x:c r="BB1" s="59"/>
      <x:c r="BC1" s="59"/>
      <x:c r="BD1" s="59"/>
      <x:c r="BE1" s="59"/>
      <x:c r="BF1" s="59"/>
      <x:c r="BG1" s="59"/>
      <x:c r="BH1" s="59"/>
      <x:c r="BI1" s="59"/>
      <x:c r="BJ1" s="59"/>
      <x:c r="BK1" s="59"/>
      <x:c r="BL1" s="59"/>
      <x:c r="BM1" s="59"/>
      <x:c r="BN1" s="59"/>
      <x:c r="BO1" s="59"/>
    </x:row>
    <x:row r="2">
      <x:c r="A2" s="13" t="str">
        <x:v>Current status: Discovery complete • HS qTest script connectivity complete • SharePoint bridge validated • POC started • HS qTest export in progress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  <x:c r="AI2" s="59"/>
      <x:c r="AJ2" s="59"/>
      <x:c r="AK2" s="59"/>
      <x:c r="AL2" s="59"/>
      <x:c r="AM2" s="59"/>
      <x:c r="AN2" s="59"/>
      <x:c r="AO2" s="59"/>
      <x:c r="AP2" s="59"/>
      <x:c r="AQ2" s="59"/>
      <x:c r="AR2" s="59"/>
      <x:c r="AS2" s="59"/>
      <x:c r="AT2" s="59"/>
      <x:c r="AU2" s="59"/>
      <x:c r="AV2" s="59"/>
      <x:c r="AW2" s="59"/>
      <x:c r="AX2" s="59"/>
      <x:c r="AY2" s="59"/>
      <x:c r="AZ2" s="59"/>
      <x:c r="BA2" s="59"/>
      <x:c r="BB2" s="59"/>
      <x:c r="BC2" s="59"/>
      <x:c r="BD2" s="59"/>
      <x:c r="BE2" s="59"/>
      <x:c r="BF2" s="59"/>
      <x:c r="BG2" s="59"/>
      <x:c r="BH2" s="59"/>
      <x:c r="BI2" s="59"/>
      <x:c r="BJ2" s="59"/>
      <x:c r="BK2" s="59"/>
      <x:c r="BL2" s="59"/>
      <x:c r="BM2" s="59"/>
      <x:c r="BN2" s="59"/>
      <x:c r="B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  <x:c r="AA3" s="59"/>
      <x:c r="AB3" s="59"/>
      <x:c r="AC3" s="59"/>
      <x:c r="AD3" s="59"/>
      <x:c r="AE3" s="59"/>
      <x:c r="AF3" s="59"/>
      <x:c r="AG3" s="59"/>
      <x:c r="AH3" s="59"/>
      <x:c r="AI3" s="59"/>
      <x:c r="AJ3" s="59"/>
      <x:c r="AK3" s="59"/>
      <x:c r="AL3" s="59"/>
      <x:c r="AM3" s="59"/>
      <x:c r="AN3" s="59"/>
      <x:c r="AO3" s="59"/>
      <x:c r="AP3" s="59"/>
      <x:c r="AQ3" s="59"/>
      <x:c r="AR3" s="59"/>
      <x:c r="AS3" s="59"/>
      <x:c r="AT3" s="59"/>
      <x:c r="AU3" s="59"/>
      <x:c r="AV3" s="59"/>
      <x:c r="AW3" s="59"/>
      <x:c r="AX3" s="59"/>
      <x:c r="AY3" s="59"/>
      <x:c r="AZ3" s="59"/>
      <x:c r="BA3" s="59"/>
      <x:c r="BB3" s="59"/>
      <x:c r="BC3" s="59"/>
      <x:c r="BD3" s="59"/>
      <x:c r="BE3" s="59"/>
      <x:c r="BF3" s="59"/>
      <x:c r="BG3" s="59"/>
      <x:c r="BH3" s="59"/>
      <x:c r="BI3" s="59"/>
      <x:c r="BJ3" s="59"/>
      <x:c r="BK3" s="59"/>
      <x:c r="BL3" s="59"/>
      <x:c r="BM3" s="59"/>
      <x:c r="BN3" s="59"/>
      <x:c r="BO3" s="59"/>
    </x:row>
    <x:row r="4">
      <x:c r="A4" s="60" t="str">
        <x:v>Planning Input</x:v>
      </x:c>
      <x:c r="B4" s="60" t="str">
        <x:v>Value</x:v>
      </x:c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  <x:c r="AA4" s="59"/>
      <x:c r="AB4" s="59"/>
      <x:c r="AC4" s="59"/>
      <x:c r="AD4" s="59"/>
      <x:c r="AE4" s="59"/>
      <x:c r="AF4" s="59"/>
      <x:c r="AG4" s="59"/>
      <x:c r="AH4" s="59"/>
      <x:c r="AI4" s="59"/>
      <x:c r="AJ4" s="59"/>
      <x:c r="AK4" s="59"/>
      <x:c r="AL4" s="59"/>
      <x:c r="AM4" s="59"/>
      <x:c r="AN4" s="59"/>
      <x:c r="AO4" s="59"/>
      <x:c r="AP4" s="59"/>
      <x:c r="AQ4" s="59"/>
      <x:c r="AR4" s="59"/>
      <x:c r="AS4" s="59"/>
      <x:c r="AT4" s="59"/>
      <x:c r="AU4" s="59"/>
      <x:c r="AV4" s="59"/>
      <x:c r="AW4" s="59"/>
      <x:c r="AX4" s="59"/>
      <x:c r="AY4" s="59"/>
      <x:c r="AZ4" s="59"/>
      <x:c r="BA4" s="59"/>
      <x:c r="BB4" s="59"/>
      <x:c r="BC4" s="59"/>
      <x:c r="BD4" s="59"/>
      <x:c r="BE4" s="59"/>
      <x:c r="BF4" s="59"/>
      <x:c r="BG4" s="59"/>
      <x:c r="BH4" s="59"/>
      <x:c r="BI4" s="59"/>
      <x:c r="BJ4" s="59"/>
      <x:c r="BK4" s="59"/>
      <x:c r="BL4" s="59"/>
      <x:c r="BM4" s="59"/>
      <x:c r="BN4" s="59"/>
      <x:c r="BO4" s="59"/>
    </x:row>
    <x:row r="5">
      <x:c r="A5" s="12" t="str">
        <x:v>Project Start</x:v>
      </x:c>
      <x:c r="B5" s="61" t="n">
        <x:v>46272</x:v>
      </x:c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  <x:c r="AA5" s="59"/>
      <x:c r="AB5" s="59"/>
      <x:c r="AC5" s="59"/>
      <x:c r="AD5" s="59"/>
      <x:c r="AE5" s="59"/>
      <x:c r="AF5" s="59"/>
      <x:c r="AG5" s="59"/>
      <x:c r="AH5" s="59"/>
      <x:c r="AI5" s="59"/>
      <x:c r="AJ5" s="59"/>
      <x:c r="AK5" s="59"/>
      <x:c r="AL5" s="59"/>
      <x:c r="AM5" s="59"/>
      <x:c r="AN5" s="59"/>
      <x:c r="AO5" s="59"/>
      <x:c r="AP5" s="59"/>
      <x:c r="AQ5" s="59"/>
      <x:c r="AR5" s="59"/>
      <x:c r="AS5" s="59"/>
      <x:c r="AT5" s="59"/>
      <x:c r="AU5" s="59"/>
      <x:c r="AV5" s="59"/>
      <x:c r="AW5" s="59"/>
      <x:c r="AX5" s="59"/>
      <x:c r="AY5" s="59"/>
      <x:c r="AZ5" s="59"/>
      <x:c r="BA5" s="59"/>
      <x:c r="BB5" s="59"/>
      <x:c r="BC5" s="59"/>
      <x:c r="BD5" s="59"/>
      <x:c r="BE5" s="59"/>
      <x:c r="BF5" s="59"/>
      <x:c r="BG5" s="59"/>
      <x:c r="BH5" s="59"/>
      <x:c r="BI5" s="59"/>
      <x:c r="BJ5" s="59"/>
      <x:c r="BK5" s="59"/>
      <x:c r="BL5" s="59"/>
      <x:c r="BM5" s="59"/>
      <x:c r="BN5" s="59"/>
      <x:c r="BO5" s="59"/>
    </x:row>
    <x:row r="6">
      <x:c r="A6" s="12" t="str">
        <x:v>Status Date</x:v>
      </x:c>
      <x:c r="B6" s="61" t="n">
        <x:v>46281</x:v>
      </x:c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  <x:c r="AA6" s="59"/>
      <x:c r="AB6" s="59"/>
      <x:c r="AC6" s="59"/>
      <x:c r="AD6" s="59"/>
      <x:c r="AE6" s="59"/>
      <x:c r="AF6" s="59"/>
      <x:c r="AG6" s="59"/>
      <x:c r="AH6" s="59"/>
      <x:c r="AI6" s="59"/>
      <x:c r="AJ6" s="59"/>
      <x:c r="AK6" s="59"/>
      <x:c r="AL6" s="59"/>
      <x:c r="AM6" s="59"/>
      <x:c r="AN6" s="59"/>
      <x:c r="AO6" s="59"/>
      <x:c r="AP6" s="59"/>
      <x:c r="AQ6" s="59"/>
      <x:c r="AR6" s="59"/>
      <x:c r="AS6" s="59"/>
      <x:c r="AT6" s="59"/>
      <x:c r="AU6" s="59"/>
      <x:c r="AV6" s="59"/>
      <x:c r="AW6" s="59"/>
      <x:c r="AX6" s="59"/>
      <x:c r="AY6" s="59"/>
      <x:c r="AZ6" s="59"/>
      <x:c r="BA6" s="59"/>
      <x:c r="BB6" s="59"/>
      <x:c r="BC6" s="59"/>
      <x:c r="BD6" s="59"/>
      <x:c r="BE6" s="59"/>
      <x:c r="BF6" s="59"/>
      <x:c r="BG6" s="59"/>
      <x:c r="BH6" s="59"/>
      <x:c r="BI6" s="59"/>
      <x:c r="BJ6" s="59"/>
      <x:c r="BK6" s="59"/>
      <x:c r="BL6" s="59"/>
      <x:c r="BM6" s="59"/>
      <x:c r="BN6" s="59"/>
      <x:c r="BO6" s="59"/>
    </x:row>
    <x:row r="7">
      <x:c r="A7" s="59"/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  <x:c r="AA7" s="59"/>
      <x:c r="AB7" s="59"/>
      <x:c r="AC7" s="59"/>
      <x:c r="AD7" s="59"/>
      <x:c r="AE7" s="59"/>
      <x:c r="AF7" s="59"/>
      <x:c r="AG7" s="59"/>
      <x:c r="AH7" s="59"/>
      <x:c r="AI7" s="59"/>
      <x:c r="AJ7" s="59"/>
      <x:c r="AK7" s="59"/>
      <x:c r="AL7" s="59"/>
      <x:c r="AM7" s="59"/>
      <x:c r="AN7" s="59"/>
      <x:c r="AO7" s="59"/>
      <x:c r="AP7" s="59"/>
      <x:c r="AQ7" s="59"/>
      <x:c r="AR7" s="59"/>
      <x:c r="AS7" s="59"/>
      <x:c r="AT7" s="59"/>
      <x:c r="AU7" s="59"/>
      <x:c r="AV7" s="59"/>
      <x:c r="AW7" s="59"/>
      <x:c r="AX7" s="59"/>
      <x:c r="AY7" s="59"/>
      <x:c r="AZ7" s="59"/>
      <x:c r="BA7" s="59"/>
      <x:c r="BB7" s="59"/>
      <x:c r="BC7" s="59"/>
      <x:c r="BD7" s="59"/>
      <x:c r="BE7" s="59"/>
      <x:c r="BF7" s="59"/>
      <x:c r="BG7" s="59"/>
      <x:c r="BH7" s="59"/>
      <x:c r="BI7" s="59"/>
      <x:c r="BJ7" s="59"/>
      <x:c r="BK7" s="59"/>
      <x:c r="BL7" s="59"/>
      <x:c r="BM7" s="59"/>
      <x:c r="BN7" s="59"/>
      <x:c r="BO7" s="59"/>
    </x:row>
    <x:row r="8">
      <x:c r="A8" s="59"/>
      <x:c r="B8" s="59"/>
      <x:c r="C8" s="59"/>
      <x:c r="D8" s="59"/>
      <x:c r="E8" s="59"/>
      <x:c r="F8" s="59"/>
      <x:c r="G8" s="62" t="str">
        <x:v>Calendar Days</x:v>
      </x:c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  <x:c r="AA8" s="59"/>
      <x:c r="AB8" s="59"/>
      <x:c r="AC8" s="59"/>
      <x:c r="AD8" s="59"/>
      <x:c r="AE8" s="59"/>
      <x:c r="AF8" s="59"/>
      <x:c r="AG8" s="59"/>
      <x:c r="AH8" s="59"/>
      <x:c r="AI8" s="59"/>
      <x:c r="AJ8" s="59"/>
      <x:c r="AK8" s="59"/>
      <x:c r="AL8" s="59"/>
      <x:c r="AM8" s="59"/>
      <x:c r="AN8" s="59"/>
      <x:c r="AO8" s="59"/>
      <x:c r="AP8" s="59"/>
      <x:c r="AQ8" s="59"/>
      <x:c r="AR8" s="59"/>
      <x:c r="AS8" s="59"/>
      <x:c r="AT8" s="59"/>
      <x:c r="AU8" s="59"/>
      <x:c r="AV8" s="59"/>
      <x:c r="AW8" s="59"/>
      <x:c r="AX8" s="59"/>
      <x:c r="AY8" s="59"/>
      <x:c r="AZ8" s="59"/>
      <x:c r="BA8" s="59"/>
      <x:c r="BB8" s="59"/>
      <x:c r="BC8" s="59"/>
      <x:c r="BD8" s="59"/>
      <x:c r="BE8" s="59"/>
      <x:c r="BF8" s="59"/>
      <x:c r="BG8" s="59"/>
      <x:c r="BH8" s="59"/>
      <x:c r="BI8" s="59"/>
      <x:c r="BJ8" s="59"/>
      <x:c r="BK8" s="59"/>
      <x:c r="BL8" s="59"/>
      <x:c r="BM8" s="59"/>
      <x:c r="BN8" s="59"/>
      <x:c r="BO8" s="59"/>
    </x:row>
    <x:row r="9">
      <x:c r="A9" s="63" t="str">
        <x:v>#</x:v>
      </x:c>
      <x:c r="B9" s="63" t="str">
        <x:v>Activity</x:v>
      </x:c>
      <x:c r="C9" s="63" t="str">
        <x:v>Status</x:v>
      </x:c>
      <x:c r="D9" s="63" t="str">
        <x:v>Start</x:v>
      </x:c>
      <x:c r="E9" s="63" t="str">
        <x:v>Duration</x:v>
      </x:c>
      <x:c r="F9" s="63" t="str">
        <x:v>Finish</x:v>
      </x:c>
      <x:c r="G9" s="64" t="n">
        <x:f>$B$5</x:f>
        <x:v>46272</x:v>
      </x:c>
      <x:c r="H9" s="64" t="n">
        <x:f>G9+1</x:f>
        <x:v>46273</x:v>
      </x:c>
      <x:c r="I9" s="64" t="n">
        <x:f>H9+1</x:f>
        <x:v>46274</x:v>
      </x:c>
      <x:c r="J9" s="64" t="n">
        <x:f>I9+1</x:f>
        <x:v>46275</x:v>
      </x:c>
      <x:c r="K9" s="64" t="n">
        <x:f>J9+1</x:f>
        <x:v>46276</x:v>
      </x:c>
      <x:c r="L9" s="64" t="n">
        <x:f>K9+1</x:f>
        <x:v>46277</x:v>
      </x:c>
      <x:c r="M9" s="64" t="n">
        <x:f>L9+1</x:f>
        <x:v>46278</x:v>
      </x:c>
      <x:c r="N9" s="64" t="n">
        <x:f>M9+1</x:f>
        <x:v>46279</x:v>
      </x:c>
      <x:c r="O9" s="64" t="n">
        <x:f>N9+1</x:f>
        <x:v>46280</x:v>
      </x:c>
      <x:c r="P9" s="64" t="n">
        <x:f>O9+1</x:f>
        <x:v>46281</x:v>
      </x:c>
      <x:c r="Q9" s="64" t="n">
        <x:f>P9+1</x:f>
        <x:v>46282</x:v>
      </x:c>
      <x:c r="R9" s="64" t="n">
        <x:f>Q9+1</x:f>
        <x:v>46283</x:v>
      </x:c>
      <x:c r="S9" s="64" t="n">
        <x:f>R9+1</x:f>
        <x:v>46284</x:v>
      </x:c>
      <x:c r="T9" s="64" t="n">
        <x:f>S9+1</x:f>
        <x:v>46285</x:v>
      </x:c>
      <x:c r="U9" s="64" t="n">
        <x:f>T9+1</x:f>
        <x:v>46286</x:v>
      </x:c>
      <x:c r="V9" s="64" t="n">
        <x:f>U9+1</x:f>
        <x:v>46287</x:v>
      </x:c>
      <x:c r="W9" s="64" t="n">
        <x:f>V9+1</x:f>
        <x:v>46288</x:v>
      </x:c>
      <x:c r="X9" s="64" t="n">
        <x:f>W9+1</x:f>
        <x:v>46289</x:v>
      </x:c>
      <x:c r="Y9" s="64" t="n">
        <x:f>X9+1</x:f>
        <x:v>46290</x:v>
      </x:c>
      <x:c r="Z9" s="64" t="n">
        <x:f>Y9+1</x:f>
        <x:v>46291</x:v>
      </x:c>
      <x:c r="AA9" s="64" t="n">
        <x:f>Z9+1</x:f>
        <x:v>46292</x:v>
      </x:c>
      <x:c r="AB9" s="64" t="n">
        <x:f>AA9+1</x:f>
        <x:v>46293</x:v>
      </x:c>
      <x:c r="AC9" s="64" t="n">
        <x:f>AB9+1</x:f>
        <x:v>46294</x:v>
      </x:c>
      <x:c r="AD9" s="64" t="n">
        <x:f>AC9+1</x:f>
        <x:v>46295</x:v>
      </x:c>
      <x:c r="AE9" s="64" t="n">
        <x:f>AD9+1</x:f>
        <x:v>46296</x:v>
      </x:c>
      <x:c r="AF9" s="64" t="n">
        <x:f>AE9+1</x:f>
        <x:v>46297</x:v>
      </x:c>
      <x:c r="AG9" s="64" t="n">
        <x:f>AF9+1</x:f>
        <x:v>46298</x:v>
      </x:c>
      <x:c r="AH9" s="64" t="n">
        <x:f>AG9+1</x:f>
        <x:v>46299</x:v>
      </x:c>
      <x:c r="AI9" s="64" t="n">
        <x:f>AH9+1</x:f>
        <x:v>46300</x:v>
      </x:c>
      <x:c r="AJ9" s="64" t="n">
        <x:f>AI9+1</x:f>
        <x:v>46301</x:v>
      </x:c>
      <x:c r="AK9" s="64" t="n">
        <x:f>AJ9+1</x:f>
        <x:v>46302</x:v>
      </x:c>
      <x:c r="AL9" s="64" t="n">
        <x:f>AK9+1</x:f>
        <x:v>46303</x:v>
      </x:c>
      <x:c r="AM9" s="64" t="n">
        <x:f>AL9+1</x:f>
        <x:v>46304</x:v>
      </x:c>
      <x:c r="AN9" s="64" t="n">
        <x:f>AM9+1</x:f>
        <x:v>46305</x:v>
      </x:c>
      <x:c r="AO9" s="64" t="n">
        <x:f>AN9+1</x:f>
        <x:v>46306</x:v>
      </x:c>
      <x:c r="AP9" s="64" t="n">
        <x:f>AO9+1</x:f>
        <x:v>46307</x:v>
      </x:c>
      <x:c r="AQ9" s="64" t="n">
        <x:f>AP9+1</x:f>
        <x:v>46308</x:v>
      </x:c>
      <x:c r="AR9" s="64" t="n">
        <x:f>AQ9+1</x:f>
        <x:v>46309</x:v>
      </x:c>
      <x:c r="AS9" s="64" t="n">
        <x:f>AR9+1</x:f>
        <x:v>46310</x:v>
      </x:c>
      <x:c r="AT9" s="64" t="n">
        <x:f>AS9+1</x:f>
        <x:v>46311</x:v>
      </x:c>
      <x:c r="AU9" s="64" t="n">
        <x:f>AT9+1</x:f>
        <x:v>46312</x:v>
      </x:c>
      <x:c r="AV9" s="64" t="n">
        <x:f>AU9+1</x:f>
        <x:v>46313</x:v>
      </x:c>
      <x:c r="AW9" s="64" t="n">
        <x:f>AV9+1</x:f>
        <x:v>46314</x:v>
      </x:c>
      <x:c r="AX9" s="64" t="n">
        <x:f>AW9+1</x:f>
        <x:v>46315</x:v>
      </x:c>
      <x:c r="AY9" s="64" t="n">
        <x:f>AX9+1</x:f>
        <x:v>46316</x:v>
      </x:c>
      <x:c r="AZ9" s="64" t="n">
        <x:f>AY9+1</x:f>
        <x:v>46317</x:v>
      </x:c>
      <x:c r="BA9" s="64" t="n">
        <x:f>AZ9+1</x:f>
        <x:v>46318</x:v>
      </x:c>
      <x:c r="BB9" s="64" t="n">
        <x:f>BA9+1</x:f>
        <x:v>46319</x:v>
      </x:c>
      <x:c r="BC9" s="64" t="n">
        <x:f>BB9+1</x:f>
        <x:v>46320</x:v>
      </x:c>
      <x:c r="BD9" s="64" t="n">
        <x:f>BC9+1</x:f>
        <x:v>46321</x:v>
      </x:c>
      <x:c r="BE9" s="64" t="n">
        <x:f>BD9+1</x:f>
        <x:v>46322</x:v>
      </x:c>
      <x:c r="BF9" s="64" t="n">
        <x:f>BE9+1</x:f>
        <x:v>46323</x:v>
      </x:c>
      <x:c r="BG9" s="64" t="n">
        <x:f>BF9+1</x:f>
        <x:v>46324</x:v>
      </x:c>
      <x:c r="BH9" s="64" t="n">
        <x:f>BG9+1</x:f>
        <x:v>46325</x:v>
      </x:c>
      <x:c r="BI9" s="64" t="n">
        <x:f>BH9+1</x:f>
        <x:v>46326</x:v>
      </x:c>
      <x:c r="BJ9" s="64" t="n">
        <x:f>BI9+1</x:f>
        <x:v>46327</x:v>
      </x:c>
      <x:c r="BK9" s="64" t="n">
        <x:f>BJ9+1</x:f>
        <x:v>46328</x:v>
      </x:c>
      <x:c r="BL9" s="64" t="n">
        <x:f>BK9+1</x:f>
        <x:v>46329</x:v>
      </x:c>
      <x:c r="BM9" s="64" t="n">
        <x:f>BL9+1</x:f>
        <x:v>46330</x:v>
      </x:c>
      <x:c r="BN9" s="64" t="n">
        <x:f>BM9+1</x:f>
        <x:v>46331</x:v>
      </x:c>
      <x:c r="BO9" s="59"/>
    </x:row>
    <x:row r="10">
      <x:c r="A10" s="59" t="n">
        <x:v>1</x:v>
      </x:c>
      <x:c r="B10" s="59" t="str">
        <x:v>Discovery &amp; Source Assessment</x:v>
      </x:c>
      <x:c r="C10" s="59" t="str">
        <x:v>Complete</x:v>
      </x:c>
      <x:c r="D10" s="65" t="n">
        <x:v>46272</x:v>
      </x:c>
      <x:c r="E10" s="66" t="n">
        <x:v>5</x:v>
      </x:c>
      <x:c r="F10" s="65" t="n">
        <x:f>D10+E10-1</x:f>
        <x:v>46276</x:v>
      </x:c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  <x:c r="AA10" s="59"/>
      <x:c r="AB10" s="59"/>
      <x:c r="AC10" s="59"/>
      <x:c r="AD10" s="59"/>
      <x:c r="AE10" s="59"/>
      <x:c r="AF10" s="59"/>
      <x:c r="AG10" s="59"/>
      <x:c r="AH10" s="59"/>
      <x:c r="AI10" s="59"/>
      <x:c r="AJ10" s="59"/>
      <x:c r="AK10" s="59"/>
      <x:c r="AL10" s="59"/>
      <x:c r="AM10" s="59"/>
      <x:c r="AN10" s="59"/>
      <x:c r="AO10" s="59"/>
      <x:c r="AP10" s="59"/>
      <x:c r="AQ10" s="59"/>
      <x:c r="AR10" s="59"/>
      <x:c r="AS10" s="59"/>
      <x:c r="AT10" s="59"/>
      <x:c r="AU10" s="59"/>
      <x:c r="AV10" s="59"/>
      <x:c r="AW10" s="59"/>
      <x:c r="AX10" s="59"/>
      <x:c r="AY10" s="59"/>
      <x:c r="AZ10" s="59"/>
      <x:c r="BA10" s="59"/>
      <x:c r="BB10" s="59"/>
      <x:c r="BC10" s="59"/>
      <x:c r="BD10" s="59"/>
      <x:c r="BE10" s="59"/>
      <x:c r="BF10" s="59"/>
      <x:c r="BG10" s="59"/>
      <x:c r="BH10" s="59"/>
      <x:c r="BI10" s="59"/>
      <x:c r="BJ10" s="59"/>
      <x:c r="BK10" s="59"/>
      <x:c r="BL10" s="59"/>
      <x:c r="BM10" s="59"/>
      <x:c r="BN10" s="59"/>
      <x:c r="BO10" s="59"/>
    </x:row>
    <x:row r="11">
      <x:c r="A11" s="59" t="n">
        <x:v>2</x:v>
      </x:c>
      <x:c r="B11" s="59" t="str">
        <x:v>HS qTest Script Connectivity</x:v>
      </x:c>
      <x:c r="C11" s="59" t="str">
        <x:v>Complete</x:v>
      </x:c>
      <x:c r="D11" s="65" t="n">
        <x:v>46272</x:v>
      </x:c>
      <x:c r="E11" s="66" t="n">
        <x:v>5</x:v>
      </x:c>
      <x:c r="F11" s="65" t="n">
        <x:f>D11+E11-1</x:f>
        <x:v>46276</x:v>
      </x:c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  <x:c r="AA11" s="59"/>
      <x:c r="AB11" s="59"/>
      <x:c r="AC11" s="59"/>
      <x:c r="AD11" s="59"/>
      <x:c r="AE11" s="59"/>
      <x:c r="AF11" s="59"/>
      <x:c r="AG11" s="59"/>
      <x:c r="AH11" s="59"/>
      <x:c r="AI11" s="59"/>
      <x:c r="AJ11" s="59"/>
      <x:c r="AK11" s="59"/>
      <x:c r="AL11" s="59"/>
      <x:c r="AM11" s="59"/>
      <x:c r="AN11" s="59"/>
      <x:c r="AO11" s="59"/>
      <x:c r="AP11" s="59"/>
      <x:c r="AQ11" s="59"/>
      <x:c r="AR11" s="59"/>
      <x:c r="AS11" s="59"/>
      <x:c r="AT11" s="59"/>
      <x:c r="AU11" s="59"/>
      <x:c r="AV11" s="59"/>
      <x:c r="AW11" s="59"/>
      <x:c r="AX11" s="59"/>
      <x:c r="AY11" s="59"/>
      <x:c r="AZ11" s="59"/>
      <x:c r="BA11" s="59"/>
      <x:c r="BB11" s="59"/>
      <x:c r="BC11" s="59"/>
      <x:c r="BD11" s="59"/>
      <x:c r="BE11" s="59"/>
      <x:c r="BF11" s="59"/>
      <x:c r="BG11" s="59"/>
      <x:c r="BH11" s="59"/>
      <x:c r="BI11" s="59"/>
      <x:c r="BJ11" s="59"/>
      <x:c r="BK11" s="59"/>
      <x:c r="BL11" s="59"/>
      <x:c r="BM11" s="59"/>
      <x:c r="BN11" s="59"/>
      <x:c r="BO11" s="59"/>
    </x:row>
    <x:row r="12">
      <x:c r="A12" s="59" t="n">
        <x:v>3</x:v>
      </x:c>
      <x:c r="B12" s="59" t="str">
        <x:v>SharePoint Bridge Validation</x:v>
      </x:c>
      <x:c r="C12" s="59" t="str">
        <x:v>Complete</x:v>
      </x:c>
      <x:c r="D12" s="65" t="n">
        <x:v>46275</x:v>
      </x:c>
      <x:c r="E12" s="66" t="n">
        <x:v>3</x:v>
      </x:c>
      <x:c r="F12" s="65" t="n">
        <x:f>D12+E12-1</x:f>
        <x:v>46277</x:v>
      </x:c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  <x:c r="AA12" s="59"/>
      <x:c r="AB12" s="59"/>
      <x:c r="AC12" s="59"/>
      <x:c r="AD12" s="59"/>
      <x:c r="AE12" s="59"/>
      <x:c r="AF12" s="59"/>
      <x:c r="AG12" s="59"/>
      <x:c r="AH12" s="59"/>
      <x:c r="AI12" s="59"/>
      <x:c r="AJ12" s="59"/>
      <x:c r="AK12" s="59"/>
      <x:c r="AL12" s="59"/>
      <x:c r="AM12" s="59"/>
      <x:c r="AN12" s="59"/>
      <x:c r="AO12" s="59"/>
      <x:c r="AP12" s="59"/>
      <x:c r="AQ12" s="59"/>
      <x:c r="AR12" s="59"/>
      <x:c r="AS12" s="59"/>
      <x:c r="AT12" s="59"/>
      <x:c r="AU12" s="59"/>
      <x:c r="AV12" s="59"/>
      <x:c r="AW12" s="59"/>
      <x:c r="AX12" s="59"/>
      <x:c r="AY12" s="59"/>
      <x:c r="AZ12" s="59"/>
      <x:c r="BA12" s="59"/>
      <x:c r="BB12" s="59"/>
      <x:c r="BC12" s="59"/>
      <x:c r="BD12" s="59"/>
      <x:c r="BE12" s="59"/>
      <x:c r="BF12" s="59"/>
      <x:c r="BG12" s="59"/>
      <x:c r="BH12" s="59"/>
      <x:c r="BI12" s="59"/>
      <x:c r="BJ12" s="59"/>
      <x:c r="BK12" s="59"/>
      <x:c r="BL12" s="59"/>
      <x:c r="BM12" s="59"/>
      <x:c r="BN12" s="59"/>
      <x:c r="BO12" s="59"/>
    </x:row>
    <x:row r="13">
      <x:c r="A13" s="59" t="n">
        <x:v>4</x:v>
      </x:c>
      <x:c r="B13" s="59" t="str">
        <x:v>POC Export – HS qTest Information</x:v>
      </x:c>
      <x:c r="C13" s="59" t="str">
        <x:v>In Progress</x:v>
      </x:c>
      <x:c r="D13" s="65" t="n">
        <x:v>46277</x:v>
      </x:c>
      <x:c r="E13" s="66" t="n">
        <x:v>7</x:v>
      </x:c>
      <x:c r="F13" s="65" t="n">
        <x:f>D13+E13-1</x:f>
        <x:v>46283</x:v>
      </x:c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  <x:c r="AA13" s="59"/>
      <x:c r="AB13" s="59"/>
      <x:c r="AC13" s="59"/>
      <x:c r="AD13" s="59"/>
      <x:c r="AE13" s="59"/>
      <x:c r="AF13" s="59"/>
      <x:c r="AG13" s="59"/>
      <x:c r="AH13" s="59"/>
      <x:c r="AI13" s="59"/>
      <x:c r="AJ13" s="59"/>
      <x:c r="AK13" s="59"/>
      <x:c r="AL13" s="59"/>
      <x:c r="AM13" s="59"/>
      <x:c r="AN13" s="59"/>
      <x:c r="AO13" s="59"/>
      <x:c r="AP13" s="59"/>
      <x:c r="AQ13" s="59"/>
      <x:c r="AR13" s="59"/>
      <x:c r="AS13" s="59"/>
      <x:c r="AT13" s="59"/>
      <x:c r="AU13" s="59"/>
      <x:c r="AV13" s="59"/>
      <x:c r="AW13" s="59"/>
      <x:c r="AX13" s="59"/>
      <x:c r="AY13" s="59"/>
      <x:c r="AZ13" s="59"/>
      <x:c r="BA13" s="59"/>
      <x:c r="BB13" s="59"/>
      <x:c r="BC13" s="59"/>
      <x:c r="BD13" s="59"/>
      <x:c r="BE13" s="59"/>
      <x:c r="BF13" s="59"/>
      <x:c r="BG13" s="59"/>
      <x:c r="BH13" s="59"/>
      <x:c r="BI13" s="59"/>
      <x:c r="BJ13" s="59"/>
      <x:c r="BK13" s="59"/>
      <x:c r="BL13" s="59"/>
      <x:c r="BM13" s="59"/>
      <x:c r="BN13" s="59"/>
      <x:c r="BO13" s="59"/>
    </x:row>
    <x:row r="14">
      <x:c r="A14" s="59" t="n">
        <x:v>5</x:v>
      </x:c>
      <x:c r="B14" s="59" t="str">
        <x:v>POC Import &amp; Transformation</x:v>
      </x:c>
      <x:c r="C14" s="59" t="str">
        <x:v>Next</x:v>
      </x:c>
      <x:c r="D14" s="65" t="n">
        <x:f>F13+1</x:f>
        <x:v>46284</x:v>
      </x:c>
      <x:c r="E14" s="66" t="n">
        <x:v>10</x:v>
      </x:c>
      <x:c r="F14" s="65" t="n">
        <x:f>D14+E14-1</x:f>
        <x:v>46293</x:v>
      </x:c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  <x:c r="AA14" s="59"/>
      <x:c r="AB14" s="59"/>
      <x:c r="AC14" s="59"/>
      <x:c r="AD14" s="59"/>
      <x:c r="AE14" s="59"/>
      <x:c r="AF14" s="59"/>
      <x:c r="AG14" s="59"/>
      <x:c r="AH14" s="59"/>
      <x:c r="AI14" s="59"/>
      <x:c r="AJ14" s="59"/>
      <x:c r="AK14" s="59"/>
      <x:c r="AL14" s="59"/>
      <x:c r="AM14" s="59"/>
      <x:c r="AN14" s="59"/>
      <x:c r="AO14" s="59"/>
      <x:c r="AP14" s="59"/>
      <x:c r="AQ14" s="59"/>
      <x:c r="AR14" s="59"/>
      <x:c r="AS14" s="59"/>
      <x:c r="AT14" s="59"/>
      <x:c r="AU14" s="59"/>
      <x:c r="AV14" s="59"/>
      <x:c r="AW14" s="59"/>
      <x:c r="AX14" s="59"/>
      <x:c r="AY14" s="59"/>
      <x:c r="AZ14" s="59"/>
      <x:c r="BA14" s="59"/>
      <x:c r="BB14" s="59"/>
      <x:c r="BC14" s="59"/>
      <x:c r="BD14" s="59"/>
      <x:c r="BE14" s="59"/>
      <x:c r="BF14" s="59"/>
      <x:c r="BG14" s="59"/>
      <x:c r="BH14" s="59"/>
      <x:c r="BI14" s="59"/>
      <x:c r="BJ14" s="59"/>
      <x:c r="BK14" s="59"/>
      <x:c r="BL14" s="59"/>
      <x:c r="BM14" s="59"/>
      <x:c r="BN14" s="59"/>
      <x:c r="BO14" s="59"/>
    </x:row>
    <x:row r="15">
      <x:c r="A15" s="59" t="n">
        <x:v>6</x:v>
      </x:c>
      <x:c r="B15" s="59" t="str">
        <x:v>POC Validation &amp; Client Approval</x:v>
      </x:c>
      <x:c r="C15" s="59" t="str">
        <x:v>Open</x:v>
      </x:c>
      <x:c r="D15" s="65" t="n">
        <x:f>F14+1</x:f>
        <x:v>46294</x:v>
      </x:c>
      <x:c r="E15" s="66" t="n">
        <x:v>5</x:v>
      </x:c>
      <x:c r="F15" s="65" t="n">
        <x:f>D15+E15-1</x:f>
        <x:v>46298</x:v>
      </x:c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  <x:c r="AA15" s="59"/>
      <x:c r="AB15" s="59"/>
      <x:c r="AC15" s="59"/>
      <x:c r="AD15" s="59"/>
      <x:c r="AE15" s="59"/>
      <x:c r="AF15" s="59"/>
      <x:c r="AG15" s="59"/>
      <x:c r="AH15" s="59"/>
      <x:c r="AI15" s="59"/>
      <x:c r="AJ15" s="59"/>
      <x:c r="AK15" s="59"/>
      <x:c r="AL15" s="59"/>
      <x:c r="AM15" s="59"/>
      <x:c r="AN15" s="59"/>
      <x:c r="AO15" s="59"/>
      <x:c r="AP15" s="59"/>
      <x:c r="AQ15" s="59"/>
      <x:c r="AR15" s="59"/>
      <x:c r="AS15" s="59"/>
      <x:c r="AT15" s="59"/>
      <x:c r="AU15" s="59"/>
      <x:c r="AV15" s="59"/>
      <x:c r="AW15" s="59"/>
      <x:c r="AX15" s="59"/>
      <x:c r="AY15" s="59"/>
      <x:c r="AZ15" s="59"/>
      <x:c r="BA15" s="59"/>
      <x:c r="BB15" s="59"/>
      <x:c r="BC15" s="59"/>
      <x:c r="BD15" s="59"/>
      <x:c r="BE15" s="59"/>
      <x:c r="BF15" s="59"/>
      <x:c r="BG15" s="59"/>
      <x:c r="BH15" s="59"/>
      <x:c r="BI15" s="59"/>
      <x:c r="BJ15" s="59"/>
      <x:c r="BK15" s="59"/>
      <x:c r="BL15" s="59"/>
      <x:c r="BM15" s="59"/>
      <x:c r="BN15" s="59"/>
      <x:c r="BO15" s="59"/>
    </x:row>
    <x:row r="16">
      <x:c r="A16" s="59" t="n">
        <x:v>7</x:v>
      </x:c>
      <x:c r="B16" s="59" t="str">
        <x:v>Target Configuration &amp; Dependencies</x:v>
      </x:c>
      <x:c r="C16" s="59" t="str">
        <x:v>Open</x:v>
      </x:c>
      <x:c r="D16" s="65" t="n">
        <x:v>46281</x:v>
      </x:c>
      <x:c r="E16" s="66" t="n">
        <x:v>17</x:v>
      </x:c>
      <x:c r="F16" s="65" t="n">
        <x:f>D16+E16-1</x:f>
        <x:v>46297</x:v>
      </x:c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  <x:c r="AA16" s="59"/>
      <x:c r="AB16" s="59"/>
      <x:c r="AC16" s="59"/>
      <x:c r="AD16" s="59"/>
      <x:c r="AE16" s="59"/>
      <x:c r="AF16" s="59"/>
      <x:c r="AG16" s="59"/>
      <x:c r="AH16" s="59"/>
      <x:c r="AI16" s="59"/>
      <x:c r="AJ16" s="59"/>
      <x:c r="AK16" s="59"/>
      <x:c r="AL16" s="59"/>
      <x:c r="AM16" s="59"/>
      <x:c r="AN16" s="59"/>
      <x:c r="AO16" s="59"/>
      <x:c r="AP16" s="59"/>
      <x:c r="AQ16" s="59"/>
      <x:c r="AR16" s="59"/>
      <x:c r="AS16" s="59"/>
      <x:c r="AT16" s="59"/>
      <x:c r="AU16" s="59"/>
      <x:c r="AV16" s="59"/>
      <x:c r="AW16" s="59"/>
      <x:c r="AX16" s="59"/>
      <x:c r="AY16" s="59"/>
      <x:c r="AZ16" s="59"/>
      <x:c r="BA16" s="59"/>
      <x:c r="BB16" s="59"/>
      <x:c r="BC16" s="59"/>
      <x:c r="BD16" s="59"/>
      <x:c r="BE16" s="59"/>
      <x:c r="BF16" s="59"/>
      <x:c r="BG16" s="59"/>
      <x:c r="BH16" s="59"/>
      <x:c r="BI16" s="59"/>
      <x:c r="BJ16" s="59"/>
      <x:c r="BK16" s="59"/>
      <x:c r="BL16" s="59"/>
      <x:c r="BM16" s="59"/>
      <x:c r="BN16" s="59"/>
      <x:c r="BO16" s="59"/>
    </x:row>
    <x:row r="17">
      <x:c r="A17" s="59" t="n">
        <x:v>8</x:v>
      </x:c>
      <x:c r="B17" s="59" t="str">
        <x:v>Full Import Tooling &amp; Rehearsal</x:v>
      </x:c>
      <x:c r="C17" s="59" t="str">
        <x:v>Open</x:v>
      </x:c>
      <x:c r="D17" s="65" t="n">
        <x:f>MAX(F15,F16)+1</x:f>
        <x:v>46299</x:v>
      </x:c>
      <x:c r="E17" s="66" t="n">
        <x:v>8</x:v>
      </x:c>
      <x:c r="F17" s="65" t="n">
        <x:f>D17+E17-1</x:f>
        <x:v>46306</x:v>
      </x:c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  <x:c r="AA17" s="59"/>
      <x:c r="AB17" s="59"/>
      <x:c r="AC17" s="59"/>
      <x:c r="AD17" s="59"/>
      <x:c r="AE17" s="59"/>
      <x:c r="AF17" s="59"/>
      <x:c r="AG17" s="59"/>
      <x:c r="AH17" s="59"/>
      <x:c r="AI17" s="59"/>
      <x:c r="AJ17" s="59"/>
      <x:c r="AK17" s="59"/>
      <x:c r="AL17" s="59"/>
      <x:c r="AM17" s="59"/>
      <x:c r="AN17" s="59"/>
      <x:c r="AO17" s="59"/>
      <x:c r="AP17" s="59"/>
      <x:c r="AQ17" s="59"/>
      <x:c r="AR17" s="59"/>
      <x:c r="AS17" s="59"/>
      <x:c r="AT17" s="59"/>
      <x:c r="AU17" s="59"/>
      <x:c r="AV17" s="59"/>
      <x:c r="AW17" s="59"/>
      <x:c r="AX17" s="59"/>
      <x:c r="AY17" s="59"/>
      <x:c r="AZ17" s="59"/>
      <x:c r="BA17" s="59"/>
      <x:c r="BB17" s="59"/>
      <x:c r="BC17" s="59"/>
      <x:c r="BD17" s="59"/>
      <x:c r="BE17" s="59"/>
      <x:c r="BF17" s="59"/>
      <x:c r="BG17" s="59"/>
      <x:c r="BH17" s="59"/>
      <x:c r="BI17" s="59"/>
      <x:c r="BJ17" s="59"/>
      <x:c r="BK17" s="59"/>
      <x:c r="BL17" s="59"/>
      <x:c r="BM17" s="59"/>
      <x:c r="BN17" s="59"/>
      <x:c r="BO17" s="59"/>
    </x:row>
    <x:row r="18">
      <x:c r="A18" s="59" t="n">
        <x:v>9</x:v>
      </x:c>
      <x:c r="B18" s="59" t="str">
        <x:v>Final Export &amp; Import</x:v>
      </x:c>
      <x:c r="C18" s="59" t="str">
        <x:v>Open</x:v>
      </x:c>
      <x:c r="D18" s="65" t="n">
        <x:f>F17+1</x:f>
        <x:v>46307</x:v>
      </x:c>
      <x:c r="E18" s="66" t="n">
        <x:v>6</x:v>
      </x:c>
      <x:c r="F18" s="65" t="n">
        <x:f>D18+E18-1</x:f>
        <x:v>46312</x:v>
      </x:c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  <x:c r="AA18" s="59"/>
      <x:c r="AB18" s="59"/>
      <x:c r="AC18" s="59"/>
      <x:c r="AD18" s="59"/>
      <x:c r="AE18" s="59"/>
      <x:c r="AF18" s="59"/>
      <x:c r="AG18" s="59"/>
      <x:c r="AH18" s="59"/>
      <x:c r="AI18" s="59"/>
      <x:c r="AJ18" s="59"/>
      <x:c r="AK18" s="59"/>
      <x:c r="AL18" s="59"/>
      <x:c r="AM18" s="59"/>
      <x:c r="AN18" s="59"/>
      <x:c r="AO18" s="59"/>
      <x:c r="AP18" s="59"/>
      <x:c r="AQ18" s="59"/>
      <x:c r="AR18" s="59"/>
      <x:c r="AS18" s="59"/>
      <x:c r="AT18" s="59"/>
      <x:c r="AU18" s="59"/>
      <x:c r="AV18" s="59"/>
      <x:c r="AW18" s="59"/>
      <x:c r="AX18" s="59"/>
      <x:c r="AY18" s="59"/>
      <x:c r="AZ18" s="59"/>
      <x:c r="BA18" s="59"/>
      <x:c r="BB18" s="59"/>
      <x:c r="BC18" s="59"/>
      <x:c r="BD18" s="59"/>
      <x:c r="BE18" s="59"/>
      <x:c r="BF18" s="59"/>
      <x:c r="BG18" s="59"/>
      <x:c r="BH18" s="59"/>
      <x:c r="BI18" s="59"/>
      <x:c r="BJ18" s="59"/>
      <x:c r="BK18" s="59"/>
      <x:c r="BL18" s="59"/>
      <x:c r="BM18" s="59"/>
      <x:c r="BN18" s="59"/>
      <x:c r="BO18" s="59"/>
    </x:row>
    <x:row r="19">
      <x:c r="A19" s="59" t="n">
        <x:v>10</x:v>
      </x:c>
      <x:c r="B19" s="59" t="str">
        <x:v>Final Validation &amp; Acceptance</x:v>
      </x:c>
      <x:c r="C19" s="59" t="str">
        <x:v>Open</x:v>
      </x:c>
      <x:c r="D19" s="65" t="n">
        <x:f>F18+1</x:f>
        <x:v>46313</x:v>
      </x:c>
      <x:c r="E19" s="66" t="n">
        <x:v>4</x:v>
      </x:c>
      <x:c r="F19" s="65" t="n">
        <x:f>D19+E19-1</x:f>
        <x:v>46316</x:v>
      </x:c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  <x:c r="AA19" s="59"/>
      <x:c r="AB19" s="59"/>
      <x:c r="AC19" s="59"/>
      <x:c r="AD19" s="59"/>
      <x:c r="AE19" s="59"/>
      <x:c r="AF19" s="59"/>
      <x:c r="AG19" s="59"/>
      <x:c r="AH19" s="59"/>
      <x:c r="AI19" s="59"/>
      <x:c r="AJ19" s="59"/>
      <x:c r="AK19" s="59"/>
      <x:c r="AL19" s="59"/>
      <x:c r="AM19" s="59"/>
      <x:c r="AN19" s="59"/>
      <x:c r="AO19" s="59"/>
      <x:c r="AP19" s="59"/>
      <x:c r="AQ19" s="59"/>
      <x:c r="AR19" s="59"/>
      <x:c r="AS19" s="59"/>
      <x:c r="AT19" s="59"/>
      <x:c r="AU19" s="59"/>
      <x:c r="AV19" s="59"/>
      <x:c r="AW19" s="59"/>
      <x:c r="AX19" s="59"/>
      <x:c r="AY19" s="59"/>
      <x:c r="AZ19" s="59"/>
      <x:c r="BA19" s="59"/>
      <x:c r="BB19" s="59"/>
      <x:c r="BC19" s="59"/>
      <x:c r="BD19" s="59"/>
      <x:c r="BE19" s="59"/>
      <x:c r="BF19" s="59"/>
      <x:c r="BG19" s="59"/>
      <x:c r="BH19" s="59"/>
      <x:c r="BI19" s="59"/>
      <x:c r="BJ19" s="59"/>
      <x:c r="BK19" s="59"/>
      <x:c r="BL19" s="59"/>
      <x:c r="BM19" s="59"/>
      <x:c r="BN19" s="59"/>
      <x:c r="B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  <x:c r="AA20" s="59"/>
      <x:c r="AB20" s="59"/>
      <x:c r="AC20" s="59"/>
      <x:c r="AD20" s="59"/>
      <x:c r="AE20" s="59"/>
      <x:c r="AF20" s="59"/>
      <x:c r="AG20" s="59"/>
      <x:c r="AH20" s="59"/>
      <x:c r="AI20" s="59"/>
      <x:c r="AJ20" s="59"/>
      <x:c r="AK20" s="59"/>
      <x:c r="AL20" s="59"/>
      <x:c r="AM20" s="59"/>
      <x:c r="AN20" s="59"/>
      <x:c r="AO20" s="59"/>
      <x:c r="AP20" s="59"/>
      <x:c r="AQ20" s="59"/>
      <x:c r="AR20" s="59"/>
      <x:c r="AS20" s="59"/>
      <x:c r="AT20" s="59"/>
      <x:c r="AU20" s="59"/>
      <x:c r="AV20" s="59"/>
      <x:c r="AW20" s="59"/>
      <x:c r="AX20" s="59"/>
      <x:c r="AY20" s="59"/>
      <x:c r="AZ20" s="59"/>
      <x:c r="BA20" s="59"/>
      <x:c r="BB20" s="59"/>
      <x:c r="BC20" s="59"/>
      <x:c r="BD20" s="59"/>
      <x:c r="BE20" s="59"/>
      <x:c r="BF20" s="59"/>
      <x:c r="BG20" s="59"/>
      <x:c r="BH20" s="59"/>
      <x:c r="BI20" s="59"/>
      <x:c r="BJ20" s="59"/>
      <x:c r="BK20" s="59"/>
      <x:c r="BL20" s="59"/>
      <x:c r="BM20" s="59"/>
      <x:c r="BN20" s="59"/>
      <x:c r="B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  <x:c r="AA21" s="59"/>
      <x:c r="AB21" s="59"/>
      <x:c r="AC21" s="59"/>
      <x:c r="AD21" s="59"/>
      <x:c r="AE21" s="59"/>
      <x:c r="AF21" s="59"/>
      <x:c r="AG21" s="59"/>
      <x:c r="AH21" s="59"/>
      <x:c r="AI21" s="59"/>
      <x:c r="AJ21" s="59"/>
      <x:c r="AK21" s="59"/>
      <x:c r="AL21" s="59"/>
      <x:c r="AM21" s="59"/>
      <x:c r="AN21" s="59"/>
      <x:c r="AO21" s="59"/>
      <x:c r="AP21" s="59"/>
      <x:c r="AQ21" s="59"/>
      <x:c r="AR21" s="59"/>
      <x:c r="AS21" s="59"/>
      <x:c r="AT21" s="59"/>
      <x:c r="AU21" s="59"/>
      <x:c r="AV21" s="59"/>
      <x:c r="AW21" s="59"/>
      <x:c r="AX21" s="59"/>
      <x:c r="AY21" s="59"/>
      <x:c r="AZ21" s="59"/>
      <x:c r="BA21" s="59"/>
      <x:c r="BB21" s="59"/>
      <x:c r="BC21" s="59"/>
      <x:c r="BD21" s="59"/>
      <x:c r="BE21" s="59"/>
      <x:c r="BF21" s="59"/>
      <x:c r="BG21" s="59"/>
      <x:c r="BH21" s="59"/>
      <x:c r="BI21" s="59"/>
      <x:c r="BJ21" s="59"/>
      <x:c r="BK21" s="59"/>
      <x:c r="BL21" s="59"/>
      <x:c r="BM21" s="59"/>
      <x:c r="BN21" s="59"/>
      <x:c r="BO21" s="59"/>
    </x:row>
    <x:row r="22">
      <x:c r="A22" s="67" t="str">
        <x:v>Legend</x:v>
      </x:c>
      <x:c r="B22" s="59" t="str"/>
      <x:c r="C22" s="59" t="str"/>
      <x:c r="D22" s="59" t="str"/>
      <x:c r="E22" s="59" t="str"/>
      <x:c r="F22" s="59" t="str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  <x:c r="AA22" s="59"/>
      <x:c r="AB22" s="59"/>
      <x:c r="AC22" s="59"/>
      <x:c r="AD22" s="59"/>
      <x:c r="AE22" s="59"/>
      <x:c r="AF22" s="59"/>
      <x:c r="AG22" s="59"/>
      <x:c r="AH22" s="59"/>
      <x:c r="AI22" s="59"/>
      <x:c r="AJ22" s="59"/>
      <x:c r="AK22" s="59"/>
      <x:c r="AL22" s="59"/>
      <x:c r="AM22" s="59"/>
      <x:c r="AN22" s="59"/>
      <x:c r="AO22" s="59"/>
      <x:c r="AP22" s="59"/>
      <x:c r="AQ22" s="59"/>
      <x:c r="AR22" s="59"/>
      <x:c r="AS22" s="59"/>
      <x:c r="AT22" s="59"/>
      <x:c r="AU22" s="59"/>
      <x:c r="AV22" s="59"/>
      <x:c r="AW22" s="59"/>
      <x:c r="AX22" s="59"/>
      <x:c r="AY22" s="59"/>
      <x:c r="AZ22" s="59"/>
      <x:c r="BA22" s="59"/>
      <x:c r="BB22" s="59"/>
      <x:c r="BC22" s="59"/>
      <x:c r="BD22" s="59"/>
      <x:c r="BE22" s="59"/>
      <x:c r="BF22" s="59"/>
      <x:c r="BG22" s="59"/>
      <x:c r="BH22" s="59"/>
      <x:c r="BI22" s="59"/>
      <x:c r="BJ22" s="59"/>
      <x:c r="BK22" s="59"/>
      <x:c r="BL22" s="59"/>
      <x:c r="BM22" s="59"/>
      <x:c r="BN22" s="59"/>
      <x:c r="BO22" s="59"/>
    </x:row>
    <x:row r="23">
      <x:c r="A23" s="68" t="str">
        <x:v>Complete</x:v>
      </x:c>
      <x:c r="B23" s="59" t="str">
        <x:v>Green</x:v>
      </x:c>
      <x:c r="C23" s="69" t="str">
        <x:v>In Progress</x:v>
      </x:c>
      <x:c r="D23" s="59" t="str">
        <x:v>Amber</x:v>
      </x:c>
      <x:c r="E23" s="59" t="str">
        <x:v>Status Date</x:v>
      </x:c>
      <x:c r="F23" s="59" t="str">
        <x:v>Red vertical marker</x:v>
      </x:c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  <x:c r="AA23" s="59"/>
      <x:c r="AB23" s="59"/>
      <x:c r="AC23" s="59"/>
      <x:c r="AD23" s="59"/>
      <x:c r="AE23" s="59"/>
      <x:c r="AF23" s="59"/>
      <x:c r="AG23" s="59"/>
      <x:c r="AH23" s="59"/>
      <x:c r="AI23" s="59"/>
      <x:c r="AJ23" s="59"/>
      <x:c r="AK23" s="59"/>
      <x:c r="AL23" s="59"/>
      <x:c r="AM23" s="59"/>
      <x:c r="AN23" s="59"/>
      <x:c r="AO23" s="59"/>
      <x:c r="AP23" s="59"/>
      <x:c r="AQ23" s="59"/>
      <x:c r="AR23" s="59"/>
      <x:c r="AS23" s="59"/>
      <x:c r="AT23" s="59"/>
      <x:c r="AU23" s="59"/>
      <x:c r="AV23" s="59"/>
      <x:c r="AW23" s="59"/>
      <x:c r="AX23" s="59"/>
      <x:c r="AY23" s="59"/>
      <x:c r="AZ23" s="59"/>
      <x:c r="BA23" s="59"/>
      <x:c r="BB23" s="59"/>
      <x:c r="BC23" s="59"/>
      <x:c r="BD23" s="59"/>
      <x:c r="BE23" s="59"/>
      <x:c r="BF23" s="59"/>
      <x:c r="BG23" s="59"/>
      <x:c r="BH23" s="59"/>
      <x:c r="BI23" s="59"/>
      <x:c r="BJ23" s="59"/>
      <x:c r="BK23" s="59"/>
      <x:c r="BL23" s="59"/>
      <x:c r="BM23" s="59"/>
      <x:c r="BN23" s="59"/>
      <x:c r="BO23" s="59"/>
    </x:row>
    <x:row r="24">
      <x:c r="A24" s="70" t="str">
        <x:v>Next / Open</x:v>
      </x:c>
      <x:c r="B24" s="59" t="str">
        <x:v>Light bar</x:v>
      </x:c>
      <x:c r="C24" s="71" t="str">
        <x:v>Editable</x:v>
      </x:c>
      <x:c r="D24" s="59" t="str">
        <x:v>Yellow cells</x:v>
      </x:c>
      <x:c r="E24" s="59" t="str"/>
      <x:c r="F24" s="59" t="str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  <x:c r="AA24" s="59"/>
      <x:c r="AB24" s="59"/>
      <x:c r="AC24" s="59"/>
      <x:c r="AD24" s="59"/>
      <x:c r="AE24" s="59"/>
      <x:c r="AF24" s="59"/>
      <x:c r="AG24" s="59"/>
      <x:c r="AH24" s="59"/>
      <x:c r="AI24" s="59"/>
      <x:c r="AJ24" s="59"/>
      <x:c r="AK24" s="59"/>
      <x:c r="AL24" s="59"/>
      <x:c r="AM24" s="59"/>
      <x:c r="AN24" s="59"/>
      <x:c r="AO24" s="59"/>
      <x:c r="AP24" s="59"/>
      <x:c r="AQ24" s="59"/>
      <x:c r="AR24" s="59"/>
      <x:c r="AS24" s="59"/>
      <x:c r="AT24" s="59"/>
      <x:c r="AU24" s="59"/>
      <x:c r="AV24" s="59"/>
      <x:c r="AW24" s="59"/>
      <x:c r="AX24" s="59"/>
      <x:c r="AY24" s="59"/>
      <x:c r="AZ24" s="59"/>
      <x:c r="BA24" s="59"/>
      <x:c r="BB24" s="59"/>
      <x:c r="BC24" s="59"/>
      <x:c r="BD24" s="59"/>
      <x:c r="BE24" s="59"/>
      <x:c r="BF24" s="59"/>
      <x:c r="BG24" s="59"/>
      <x:c r="BH24" s="59"/>
      <x:c r="BI24" s="59"/>
      <x:c r="BJ24" s="59"/>
      <x:c r="BK24" s="59"/>
      <x:c r="BL24" s="59"/>
      <x:c r="BM24" s="59"/>
      <x:c r="BN24" s="59"/>
      <x:c r="BO24" s="59"/>
    </x:row>
    <x:row r="25">
      <x:c r="A25" s="59" t="str">
        <x:v>Note</x:v>
      </x:c>
      <x:c r="B25" s="59" t="str">
        <x:v>Target Configuration &amp; Dependencies runs in parallel with the POC.</x:v>
      </x:c>
      <x:c r="C25" s="59" t="str"/>
      <x:c r="D25" s="59" t="str"/>
      <x:c r="E25" s="59" t="str"/>
      <x:c r="F25" s="59" t="str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  <x:c r="AA25" s="59"/>
      <x:c r="AB25" s="59"/>
      <x:c r="AC25" s="59"/>
      <x:c r="AD25" s="59"/>
      <x:c r="AE25" s="59"/>
      <x:c r="AF25" s="59"/>
      <x:c r="AG25" s="59"/>
      <x:c r="AH25" s="59"/>
      <x:c r="AI25" s="59"/>
      <x:c r="AJ25" s="59"/>
      <x:c r="AK25" s="59"/>
      <x:c r="AL25" s="59"/>
      <x:c r="AM25" s="59"/>
      <x:c r="AN25" s="59"/>
      <x:c r="AO25" s="59"/>
      <x:c r="AP25" s="59"/>
      <x:c r="AQ25" s="59"/>
      <x:c r="AR25" s="59"/>
      <x:c r="AS25" s="59"/>
      <x:c r="AT25" s="59"/>
      <x:c r="AU25" s="59"/>
      <x:c r="AV25" s="59"/>
      <x:c r="AW25" s="59"/>
      <x:c r="AX25" s="59"/>
      <x:c r="AY25" s="59"/>
      <x:c r="AZ25" s="59"/>
      <x:c r="BA25" s="59"/>
      <x:c r="BB25" s="59"/>
      <x:c r="BC25" s="59"/>
      <x:c r="BD25" s="59"/>
      <x:c r="BE25" s="59"/>
      <x:c r="BF25" s="59"/>
      <x:c r="BG25" s="59"/>
      <x:c r="BH25" s="59"/>
      <x:c r="BI25" s="59"/>
      <x:c r="BJ25" s="59"/>
      <x:c r="BK25" s="59"/>
      <x:c r="BL25" s="59"/>
      <x:c r="BM25" s="59"/>
      <x:c r="BN25" s="59"/>
      <x:c r="BO25" s="59"/>
    </x:row>
  </x:sheetData>
  <x:mergeCells>
    <x:mergeCell ref="A1:AO1"/>
    <x:mergeCell ref="A2:AO2"/>
    <x:mergeCell ref="G8:BN8"/>
    <x:mergeCell ref="A22:F22"/>
    <x:mergeCell ref="B25:F25"/>
  </x:mergeCells>
  <x:conditionalFormatting sqref="G10:BO19">
    <x:cfRule type="expression" dxfId="0" priority="1">
      <x:formula>AND(G$9&gt;=$D10,G$9&lt;=$F10,$C10="Complete")</x:formula>
    </x:cfRule>
    <x:cfRule type="expression" dxfId="1" priority="2">
      <x:formula>AND(G$9&gt;=$D10,G$9&lt;=$F10,$C10="In Progress")</x:formula>
    </x:cfRule>
    <x:cfRule type="expression" dxfId="2" priority="3">
      <x:formula>AND(G$9&gt;=$D10,G$9&lt;=$F10,OR($C10="Next",$C10="Open"))</x:formula>
    </x:cfRule>
    <x:cfRule type="expression" dxfId="3" priority="4">
      <x:formula>AND(G$9&gt;=$D10,G$9&lt;=$F10,$C10="Blocked")</x:formula>
    </x:cfRule>
  </x:conditionalFormatting>
  <x:conditionalFormatting sqref="G9:BO19">
    <x:cfRule type="expression" dxfId="4" priority="5">
      <x:formula>G$9=$B$6</x:formula>
    </x:cfRule>
  </x:conditionalFormatting>
  <x:dataValidations count="1">
    <x:dataValidation type="list" sqref="C10:C19">
      <x:formula1>"Complete,In Progress,Next,Open,Blocked"</x:formula1>
    </x:dataValidation>
  </x:dataValidations>
  <x:pageMargins left="0.7" right="0.7" top="0.75" bottom="0.75" header="0.3" footer="0.3"/>
</x:worksheet>
</file>