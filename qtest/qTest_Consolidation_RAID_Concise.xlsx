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ae395125f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s" sheetId="1" r:id="R37c27c8c1b4d44a6"/>
    <x:sheet xmlns:r="http://schemas.openxmlformats.org/officeDocument/2006/relationships" name="Assumptions" sheetId="2" r:id="Rbd571023705748be"/>
    <x:sheet xmlns:r="http://schemas.openxmlformats.org/officeDocument/2006/relationships" name="Issues" sheetId="3" r:id="Ra97121aff40848c9"/>
    <x:sheet xmlns:r="http://schemas.openxmlformats.org/officeDocument/2006/relationships" name="Dependencies" sheetId="4" r:id="R149489ca35da4270"/>
    <x:sheet xmlns:r="http://schemas.openxmlformats.org/officeDocument/2006/relationships" name="Dashboard" sheetId="5" r:id="R15e60eb43ee34683"/>
    <x:sheet xmlns:r="http://schemas.openxmlformats.org/officeDocument/2006/relationships" name="README" sheetId="6" r:id="R89c101a54b7d41f1"/>
  </x:sheets>
</x:workbook>
</file>

<file path=xl/sharedStrings.xml><?xml version="1.0" encoding="utf-8"?>
<x:sst xmlns:x="http://schemas.openxmlformats.org/spreadsheetml/2006/main">
  <x:si>
    <x:t xml:space="preserve">qTest Consolidation — RAID Log: Risks</x:t>
  </x:si>
  <x:si>
    <x:t xml:space="preserve">Potential future events that could negatively affect the HS qTest export / HCSC qTest import initiative.</x:t>
  </x:si>
  <x:si>
    <x:t xml:space="preserve">Risk ID</x:t>
  </x:si>
  <x:si>
    <x:t xml:space="preserve">Track</x:t>
  </x:si>
  <x:si>
    <x:t xml:space="preserve">Category</x:t>
  </x:si>
  <x:si>
    <x:t xml:space="preserve">Risk Description</x:t>
  </x:si>
  <x:si>
    <x:t xml:space="preserve">Status</x:t>
  </x:si>
  <x:si>
    <x:t xml:space="preserve">Likelihood</x:t>
  </x:si>
  <x:si>
    <x:t xml:space="preserve">Impact</x:t>
  </x:si>
  <x:si>
    <x:t xml:space="preserve">Priority</x:t>
  </x:si>
  <x:si>
    <x:t xml:space="preserve">Owner</x:t>
  </x:si>
  <x:si>
    <x:t xml:space="preserve">Mitigation / Response Plan</x:t>
  </x:si>
  <x:si>
    <x:t xml:space="preserve">Dependency / Trigger</x:t>
  </x:si>
  <x:si>
    <x:t xml:space="preserve">Notes</x:t>
  </x:si>
  <x:si>
    <x:t xml:space="preserve">qTest Consolidation — RAID Log: Assumptions</x:t>
  </x:si>
  <x:si>
    <x:t xml:space="preserve">Planning assumptions that must be validated as the POC and full plan progress.</x:t>
  </x:si>
  <x:si>
    <x:t xml:space="preserve">Assumption ID</x:t>
  </x:si>
  <x:si>
    <x:t xml:space="preserve">Assumption Description</x:t>
  </x:si>
  <x:si>
    <x:t xml:space="preserve">Impact if Invalid</x:t>
  </x:si>
  <x:si>
    <x:t xml:space="preserve">Validation Plan</x:t>
  </x:si>
  <x:si>
    <x:t xml:space="preserve">Date Identified</x:t>
  </x:si>
  <x:si>
    <x:t xml:space="preserve">Target Validation Date</x:t>
  </x:si>
  <x:si>
    <x:t xml:space="preserve">Date Validated</x:t>
  </x:si>
  <x:si>
    <x:t xml:space="preserve">qTest Consolidation — RAID Log: Issues</x:t>
  </x:si>
  <x:si>
    <x:t xml:space="preserve">Current problems requiring active resolution.</x:t>
  </x:si>
  <x:si>
    <x:t xml:space="preserve">Issue ID</x:t>
  </x:si>
  <x:si>
    <x:t xml:space="preserve">Issue Description</x:t>
  </x:si>
  <x:si>
    <x:t xml:space="preserve">Resolution Plan</x:t>
  </x:si>
  <x:si>
    <x:t xml:space="preserve">Date Raised</x:t>
  </x:si>
  <x:si>
    <x:t xml:space="preserve">Target Resolution Date</x:t>
  </x:si>
  <x:si>
    <x:t xml:space="preserve">Date Resolved</x:t>
  </x:si>
  <x:si>
    <x:t xml:space="preserve">qTest Consolidation — RAID Log: Dependencies</x:t>
  </x:si>
  <x:si>
    <x:t xml:space="preserve">Prerequisites and external inputs that can block POC or full import readiness.</x:t>
  </x:si>
  <x:si>
    <x:t xml:space="preserve">Dependency ID</x:t>
  </x:si>
  <x:si>
    <x:t xml:space="preserve">Phase</x:t>
  </x:si>
  <x:si>
    <x:t xml:space="preserve">Dependency</x:t>
  </x:si>
  <x:si>
    <x:t xml:space="preserve">Why Required</x:t>
  </x:si>
  <x:si>
    <x:t xml:space="preserve">Required By</x:t>
  </x:si>
  <x:si>
    <x:t xml:space="preserve">Related Jira</x:t>
  </x:si>
  <x:si>
    <x:t xml:space="preserve">qTest Consolidation — RAID Dashboard</x:t>
  </x:si>
  <x:si>
    <x:t xml:space="preserve">Open</x:t>
  </x:si>
  <x:si>
    <x:t xml:space="preserve">In Progress</x:t>
  </x:si>
  <x:si>
    <x:t xml:space="preserve">Resolved/Validated</x:t>
  </x:si>
  <x:si>
    <x:t xml:space="preserve">Blocked/Escalated</x:t>
  </x:si>
  <x:si>
    <x:t xml:space="preserve">Total</x:t>
  </x:si>
  <x:si>
    <x:t xml:space="preserve">Primary Focus</x:t>
  </x:si>
  <x:si>
    <x:t xml:space="preserve">Risks</x:t>
  </x:si>
  <x:si>
    <x:t xml:space="preserve">Assumptions</x:t>
  </x:si>
  <x:si>
    <x:t xml:space="preserve">Issues</x:t>
  </x:si>
  <x:si>
    <x:t xml:space="preserve">Dependencies</x:t>
  </x:si>
  <x:si>
    <x:t xml:space="preserve">Key Project Gates</x:t>
  </x:si>
  <x:si>
    <x:t xml:space="preserve">Gate</x:t>
  </x:si>
  <x:si>
    <x:t xml:space="preserve">Purpose</x:t>
  </x:si>
  <x:si>
    <x:t xml:space="preserve">Evidence</x:t>
  </x:si>
  <x:si>
    <x:t xml:space="preserve">qTest Consolidation — RAID Log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</x:si>
</x:sst>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name val="Arial"/>
    </x:font>
    <x:font>
      <x:i/>
      <x:sz val="11"/>
      <x:color rgb="FF666666"/>
      <x:name val="Arial"/>
    </x:font>
    <x:font>
      <x:b/>
      <x:sz val="11"/>
      <x:color rgb="FFFFFFFF"/>
      <x:name val="Arial"/>
    </x:font>
    <x:font>
      <x:b/>
      <x:sz val="11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0" fontId="3" fillId="0" borderId="0" xfId="0" applyFont="1"/>
    <x:xf numFmtId="0" fontId="5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wrapText="1"/>
    </x:xf>
    <x:xf numFmtId="0" fontId="5" fillId="2" borderId="0" xfId="0" applyFont="1" applyFill="1" applyAlignment="1">
      <x:alignment vertical="center"/>
    </x:xf>
    <x:xf numFmtId="0" fontId="4" fillId="0" borderId="0" xfId="0" applyFont="1" applyAlignment="1">
      <x:alignment wrapText="1"/>
    </x:xf>
    <x:xf numFmtId="0" fontId="6" fillId="3" borderId="0" xfId="0" applyFont="1" applyFill="1" applyAlignment="1">
      <x:alignment wrapText="1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/>
    <x:xf numFmtId="0" fontId="0" fillId="0" borderId="0" xfId="0" applyAlignment="1"/>
  </x:cellXfs>
  <x:cellStyles count="1">
    <x:cellStyle name="Normal" xfId="0"/>
  </x:cellStyles>
  <x:dxfs count="12"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6c2f2a87d48a1" /><Relationship Type="http://schemas.openxmlformats.org/officeDocument/2006/relationships/theme" Target="/xl/theme/theme1.xml" Id="Rf4d096e3318f434d" /><Relationship Type="http://schemas.openxmlformats.org/officeDocument/2006/relationships/sharedStrings" Target="/xl/sharedStrings.xml" Id="R88bcded384f64758" /><Relationship Type="http://schemas.openxmlformats.org/officeDocument/2006/relationships/worksheet" Target="/xl/worksheets/sheet1.xml" Id="R37c27c8c1b4d44a6" /><Relationship Type="http://schemas.openxmlformats.org/officeDocument/2006/relationships/worksheet" Target="/xl/worksheets/sheet2.xml" Id="Rbd571023705748be" /><Relationship Type="http://schemas.openxmlformats.org/officeDocument/2006/relationships/worksheet" Target="/xl/worksheets/sheet3.xml" Id="Ra97121aff40848c9" /><Relationship Type="http://schemas.openxmlformats.org/officeDocument/2006/relationships/worksheet" Target="/xl/worksheets/sheet4.xml" Id="R149489ca35da4270" /><Relationship Type="http://schemas.openxmlformats.org/officeDocument/2006/relationships/worksheet" Target="/xl/worksheets/sheet5.xml" Id="R15e60eb43ee34683" /><Relationship Type="http://schemas.openxmlformats.org/officeDocument/2006/relationships/worksheet" Target="/xl/worksheets/sheet6.xml" Id="R89c101a54b7d41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1" style="3" customWidth="1"/>
    <x:col min="2" max="2" width="10" style="3" customWidth="1"/>
    <x:col min="3" max="3" width="13" style="3" customWidth="1"/>
    <x:col min="4" max="4" width="40" style="3" customWidth="1"/>
    <x:col min="5" max="5" width="13" style="3" customWidth="1"/>
    <x:col min="6" max="8" width="11" style="3" customWidth="1"/>
    <x:col min="9" max="9" width="20" style="3" customWidth="1"/>
    <x:col min="10" max="10" width="42" style="3" customWidth="1"/>
    <x:col min="11" max="11" width="25" style="3" customWidth="1"/>
    <x:col min="12" max="12" width="28" style="3" customWidth="1"/>
    <x:col min="13" max="16384" width="9" style="3" customWidth="0"/>
  </x:cols>
  <x:sheetData>
    <x:row r="1" ht="27.950000762939453" customHeight="1">
      <x:c r="A1" s="7" t="s">
        <x:v>0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8" t="s">
        <x:v>1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4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  <x:c r="G3" s="4" t="s">
        <x:v>8</x:v>
      </x:c>
      <x:c r="H3" s="4" t="s">
        <x:v>9</x:v>
      </x:c>
      <x:c r="I3" s="4" t="s">
        <x:v>10</x:v>
      </x:c>
      <x:c r="J3" s="4" t="s">
        <x:v>11</x:v>
      </x:c>
      <x:c r="K3" s="4" t="s">
        <x:v>12</x:v>
      </x:c>
      <x:c r="L3" s="4" t="s">
        <x:v>13</x:v>
      </x:c>
    </x:row>
    <x:row r="4" ht="43.5">
      <x:c r="A4" s="5" t="str">
        <x:v>R-001</x:v>
      </x:c>
      <x:c r="B4" s="5" t="str">
        <x:v>qTest</x:v>
      </x:c>
      <x:c r="C4" s="5" t="str">
        <x:v>Technical</x:v>
      </x:c>
      <x:c r="D4" s="5" t="str">
        <x:v>HS and HCSC qTest API/version differences may limit migration fidelity.</x:v>
      </x:c>
      <x:c r="E4" s="5" t="str">
        <x:v>In Progress</x:v>
      </x:c>
      <x:c r="F4" s="5" t="str">
        <x:v>High</x:v>
      </x:c>
      <x:c r="G4" s="5" t="str">
        <x:v>High</x:v>
      </x:c>
      <x:c r="H4" s="5" t="str">
        <x:v>Critical</x:v>
      </x:c>
      <x:c r="I4" s="5" t="str">
        <x:v>ELEKS qTest Migration Team</x:v>
      </x:c>
      <x:c r="J4" s="5" t="str">
        <x:v>Validate supported objects in the POC and document required transformations/limitations.</x:v>
      </x:c>
      <x:c r="K4" s="5" t="str">
        <x:v>POC API validation</x:v>
      </x:c>
      <x:c r="L4" s="5" t="str"/>
    </x:row>
    <x:row r="5" ht="57.75">
      <x:c r="A5" s="5" t="str">
        <x:v>R-002</x:v>
      </x:c>
      <x:c r="B5" s="5" t="str">
        <x:v>qTest</x:v>
      </x:c>
      <x:c r="C5" s="5" t="str">
        <x:v>Identity / Access</x:v>
      </x:c>
      <x:c r="D5" s="5" t="str">
        <x:v>HCSC licensing, permissions, or required HS-equivalent groups may not be ready for migrated users.</x:v>
      </x:c>
      <x:c r="E5" s="5" t="str">
        <x:v>Open</x:v>
      </x:c>
      <x:c r="F5" s="5" t="str">
        <x:v>Medium</x:v>
      </x:c>
      <x:c r="G5" s="5" t="str">
        <x:v>High</x:v>
      </x:c>
      <x:c r="H5" s="5" t="str">
        <x:v>High</x:v>
      </x:c>
      <x:c r="I5" s="5" t="str">
        <x:v>HCSC qTest Admin / IAM</x:v>
      </x:c>
      <x:c r="J5" s="5" t="str">
        <x:v>Confirm licenses and user access; inventory required HS groups/profiles and recreate only those needed in HCSC.</x:v>
      </x:c>
      <x:c r="K5" s="5" t="str">
        <x:v>Target readiness</x:v>
      </x:c>
      <x:c r="L5" s="5" t="str"/>
    </x:row>
    <x:row r="6" ht="43.5">
      <x:c r="A6" s="5" t="str">
        <x:v>R-003</x:v>
      </x:c>
      <x:c r="B6" s="5" t="str">
        <x:v>qTest</x:v>
      </x:c>
      <x:c r="C6" s="5" t="str">
        <x:v>Technical</x:v>
      </x:c>
      <x:c r="D6" s="5" t="str">
        <x:v>Partial imports or reruns may create missing or duplicate HCSC data.</x:v>
      </x:c>
      <x:c r="E6" s="5" t="str">
        <x:v>Open</x:v>
      </x:c>
      <x:c r="F6" s="5" t="str">
        <x:v>Medium</x:v>
      </x:c>
      <x:c r="G6" s="5" t="str">
        <x:v>High</x:v>
      </x:c>
      <x:c r="H6" s="5" t="str">
        <x:v>High</x:v>
      </x:c>
      <x:c r="I6" s="5" t="str">
        <x:v>ELEKS qTest Migration Team</x:v>
      </x:c>
      <x:c r="J6" s="5" t="str">
        <x:v>Retain source-to-target ID mappings, checkpoints, reconciliation, and safe rerun controls.</x:v>
      </x:c>
      <x:c r="K6" s="5" t="str">
        <x:v>Importer development</x:v>
      </x:c>
      <x:c r="L6" s="5" t="str"/>
    </x:row>
    <x:row r="7" ht="43.5">
      <x:c r="A7" s="5" t="str">
        <x:v>R-004</x:v>
      </x:c>
      <x:c r="B7" s="5" t="str">
        <x:v>qTest</x:v>
      </x:c>
      <x:c r="C7" s="5" t="str">
        <x:v>Integration</x:v>
      </x:c>
      <x:c r="D7" s="5" t="str">
        <x:v>Jira target mappings may change before final migration.</x:v>
      </x:c>
      <x:c r="E7" s="5" t="str">
        <x:v>Open</x:v>
      </x:c>
      <x:c r="F7" s="5" t="str">
        <x:v>Medium</x:v>
      </x:c>
      <x:c r="G7" s="5" t="str">
        <x:v>Medium</x:v>
      </x:c>
      <x:c r="H7" s="5" t="str">
        <x:v>Medium</x:v>
      </x:c>
      <x:c r="I7" s="5" t="str">
        <x:v>Jira Integration Owner</x:v>
      </x:c>
      <x:c r="J7" s="5" t="str">
        <x:v>Keep Jira mappings external to the scripts and finalize/reconcile them late.</x:v>
      </x:c>
      <x:c r="K7" s="5" t="str">
        <x:v>Jira mapping</x:v>
      </x:c>
      <x:c r="L7" s="5" t="str"/>
    </x:row>
    <x:row r="8" ht="43.5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</x:row>
    <x:row r="9" ht="43.5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</x:row>
    <x:row r="10" ht="43.5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</x:row>
    <x:row r="11" ht="43.5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</x:row>
    <x:row r="12" ht="43.5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</x:row>
    <x:row r="13" ht="43.5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</x:sheetData>
  <x:mergeCells>
    <x:mergeCell ref="A1:L1"/>
    <x:mergeCell ref="A2:L2"/>
  </x:mergeCells>
  <x:conditionalFormatting sqref="E4:E13">
    <x:cfRule type="expression" dxfId="11" priority="1">
      <x:formula>E4="Open"</x:formula>
    </x:cfRule>
    <x:cfRule type="expression" dxfId="10" priority="2">
      <x:formula>E4="In Progress"</x:formula>
    </x:cfRule>
    <x:cfRule type="expression" dxfId="9" priority="3">
      <x:formula>OR(E4="Closed",E4="Complete",E4="Validated",E4="Mitigated")</x:formula>
    </x:cfRule>
    <x:cfRule type="expression" dxfId="8" priority="4">
      <x:formula>OR(E4="Blocked",E4="Escalated")</x:formula>
    </x:cfRule>
  </x:conditionalFormatting>
  <x:dataValidations count="1">
    <x:dataValidation type="list" sqref="E4:E13">
      <x:formula1>"Open,In Progress,Mitigated,Closed,Escalated,Complete,Validated,Blocked"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3" style="3" customWidth="1"/>
    <x:col min="2" max="2" width="14" style="3" customWidth="1"/>
    <x:col min="3" max="3" width="42" style="3" customWidth="1"/>
    <x:col min="4" max="4" width="35" style="3" customWidth="1"/>
    <x:col min="5" max="5" width="20" style="3" customWidth="1"/>
    <x:col min="6" max="6" width="38" style="3" customWidth="1"/>
    <x:col min="7" max="7" width="13" style="3" customWidth="1"/>
    <x:col min="8" max="8" width="14" style="3" customWidth="1"/>
    <x:col min="9" max="9" width="18" style="3" customWidth="1"/>
    <x:col min="10" max="10" width="14" style="3" customWidth="1"/>
    <x:col min="11" max="11" width="28" style="3" customWidth="1"/>
    <x:col min="12" max="16384" width="9" style="3" customWidth="0"/>
  </x:cols>
  <x:sheetData>
    <x:row r="1" ht="27.950000762939453" customHeight="1">
      <x:c r="A1" s="7" t="s">
        <x:v>14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8" t="s">
        <x:v>15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8.5">
      <x:c r="A3" s="4" t="s">
        <x:v>16</x:v>
      </x:c>
      <x:c r="B3" s="4" t="s">
        <x:v>4</x:v>
      </x:c>
      <x:c r="C3" s="4" t="s">
        <x:v>17</x:v>
      </x:c>
      <x:c r="D3" s="4" t="s">
        <x:v>18</x:v>
      </x:c>
      <x:c r="E3" s="4" t="s">
        <x:v>10</x:v>
      </x:c>
      <x:c r="F3" s="4" t="s">
        <x:v>19</x:v>
      </x:c>
      <x:c r="G3" s="4" t="s">
        <x:v>6</x:v>
      </x:c>
      <x:c r="H3" s="4" t="s">
        <x:v>20</x:v>
      </x:c>
      <x:c r="I3" s="4" t="s">
        <x:v>21</x:v>
      </x:c>
      <x:c r="J3" s="4" t="s">
        <x:v>22</x:v>
      </x:c>
      <x:c r="K3" s="4" t="s">
        <x:v>13</x:v>
      </x:c>
    </x:row>
    <x:row r="4" ht="28.5">
      <x:c r="A4" s="5" t="str">
        <x:v>A-001</x:v>
      </x:c>
      <x:c r="B4" s="5" t="str">
        <x:v>Identity</x:v>
      </x:c>
      <x:c r="C4" s="5" t="str">
        <x:v>HS users are already synchronized with HCSC Active Directory and can use the same enterprise identity.</x:v>
      </x:c>
      <x:c r="D4" s="5" t="str">
        <x:v>Users may require alternate provisioning or mapping before they can access HCSC qTest.</x:v>
      </x:c>
      <x:c r="E4" s="5" t="str">
        <x:v>HCSC IAM / qTest Admin</x:v>
      </x:c>
      <x:c r="F4" s="5" t="str">
        <x:v>Validate login/provisioning for representative HS users after qTest licensing and permissions are assigned.</x:v>
      </x:c>
      <x:c r="G4" s="5" t="str">
        <x:v>In Progress</x:v>
      </x:c>
      <x:c r="H4" s="5" t="str"/>
      <x:c r="I4" s="5" t="str"/>
      <x:c r="J4" s="5" t="str"/>
      <x:c r="K4" s="5" t="str"/>
    </x:row>
    <x:row r="5" ht="28.5">
      <x:c r="A5" s="5" t="str">
        <x:v>A-002</x:v>
      </x:c>
      <x:c r="B5" s="5" t="str">
        <x:v>Architecture</x:v>
      </x:c>
      <x:c r="C5" s="5" t="str">
        <x:v>Migration remains file-mediated: HS qTest export package is stored/transferred through approved SharePoint storage and then imported into HCSC qTest.</x:v>
      </x:c>
      <x:c r="D5" s="5" t="str">
        <x:v>The migration operating model and scripts would need redesign.</x:v>
      </x:c>
      <x:c r="E5" s="5" t="str">
        <x:v>Project Lead / Platform</x:v>
      </x:c>
      <x:c r="F5" s="5" t="str">
        <x:v>Validate end-to-end SharePoint access and package handling from both migration sides.</x:v>
      </x:c>
      <x:c r="G5" s="5" t="str">
        <x:v>Validated</x:v>
      </x:c>
      <x:c r="H5" s="5" t="str"/>
      <x:c r="I5" s="5" t="str"/>
      <x:c r="J5" s="5" t="str"/>
      <x:c r="K5" s="5" t="str"/>
    </x:row>
    <x:row r="6" ht="43.5">
      <x:c r="A6" s="5" t="str">
        <x:v>A-003</x:v>
      </x:c>
      <x:c r="B6" s="5" t="str">
        <x:v>Planning</x:v>
      </x:c>
      <x:c r="C6" s="5" t="str">
        <x:v>Discovery outputs remain the baseline for POC scope, full migration planning, and reconciliation.</x:v>
      </x:c>
      <x:c r="D6" s="5" t="str">
        <x:v>Additional discovery/rework may be required.</x:v>
      </x:c>
      <x:c r="E6" s="5" t="str">
        <x:v>ELEKS qTest Migration Team</x:v>
      </x:c>
      <x:c r="F6" s="5" t="str">
        <x:v>Version and retain the discovery outputs used by the POC.</x:v>
      </x:c>
      <x:c r="G6" s="5" t="str">
        <x:v>Validated</x:v>
      </x:c>
      <x:c r="H6" s="5" t="str"/>
      <x:c r="I6" s="5" t="str"/>
      <x:c r="J6" s="5" t="str"/>
      <x:c r="K6" s="5" t="str"/>
    </x:row>
    <x:row r="7" ht="28.5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</x:row>
    <x:row r="8" ht="28.5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</x:row>
    <x:row r="9" ht="28.5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</x:row>
    <x:row r="10" ht="28.5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</x:row>
  </x:sheetData>
  <x:mergeCells>
    <x:mergeCell ref="A1:K1"/>
    <x:mergeCell ref="A2:K2"/>
  </x:mergeCells>
  <x:conditionalFormatting sqref="G4:G10">
    <x:cfRule type="expression" dxfId="7" priority="1">
      <x:formula>G4="Open"</x:formula>
    </x:cfRule>
    <x:cfRule type="expression" dxfId="6" priority="2">
      <x:formula>G4="In Progress"</x:formula>
    </x:cfRule>
    <x:cfRule type="expression" dxfId="5" priority="3">
      <x:formula>OR(G4="Closed",G4="Complete",G4="Validated",G4="Mitigated")</x:formula>
    </x:cfRule>
    <x:cfRule type="expression" dxfId="4" priority="4">
      <x:formula>OR(G4="Blocked",G4="Escalated")</x:formula>
    </x:cfRule>
  </x:conditionalFormatting>
  <x:dataValidations count="1">
    <x:dataValidation type="list" sqref="G4:G10">
      <x:formula1>"Open,In Progress,Mitigated,Closed,Escalated,Complete,Validated,Blocked"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" style="3" customWidth="1"/>
    <x:col min="2" max="2" width="10" style="3" customWidth="1"/>
    <x:col min="3" max="3" width="13" style="3" customWidth="1"/>
    <x:col min="4" max="4" width="42" style="3" customWidth="1"/>
    <x:col min="5" max="5" width="35" style="3" customWidth="1"/>
    <x:col min="6" max="6" width="11" style="3" customWidth="1"/>
    <x:col min="7" max="7" width="20" style="3" customWidth="1"/>
    <x:col min="8" max="8" width="40" style="3" customWidth="1"/>
    <x:col min="9" max="9" width="13" style="3" customWidth="1"/>
    <x:col min="10" max="10" width="14" style="3" customWidth="1"/>
    <x:col min="11" max="11" width="18" style="3" customWidth="1"/>
    <x:col min="12" max="12" width="14" style="3" customWidth="1"/>
    <x:col min="13" max="13" width="28" style="3" customWidth="1"/>
    <x:col min="14" max="16384" width="9" style="3" customWidth="0"/>
  </x:cols>
  <x:sheetData>
    <x:row r="1" ht="27.950000762939453" customHeight="1">
      <x:c r="A1" s="7" t="s">
        <x:v>23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</x:row>
    <x:row r="2">
      <x:c r="A2" s="8" t="s">
        <x:v>24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28.5">
      <x:c r="A3" s="4" t="s">
        <x:v>25</x:v>
      </x:c>
      <x:c r="B3" s="4" t="s">
        <x:v>3</x:v>
      </x:c>
      <x:c r="C3" s="4" t="s">
        <x:v>4</x:v>
      </x:c>
      <x:c r="D3" s="4" t="s">
        <x:v>26</x:v>
      </x:c>
      <x:c r="E3" s="4" t="s">
        <x:v>8</x:v>
      </x:c>
      <x:c r="F3" s="4" t="s">
        <x:v>9</x:v>
      </x:c>
      <x:c r="G3" s="4" t="s">
        <x:v>10</x:v>
      </x:c>
      <x:c r="H3" s="4" t="s">
        <x:v>27</x:v>
      </x:c>
      <x:c r="I3" s="4" t="s">
        <x:v>6</x:v>
      </x:c>
      <x:c r="J3" s="4" t="s">
        <x:v>28</x:v>
      </x:c>
      <x:c r="K3" s="4" t="s">
        <x:v>29</x:v>
      </x:c>
      <x:c r="L3" s="4" t="s">
        <x:v>30</x:v>
      </x:c>
      <x:c r="M3" s="4" t="s">
        <x:v>13</x:v>
      </x:c>
    </x:row>
    <x:row r="4">
      <x:c r="A4" t="str">
        <x:v>I-001</x:v>
      </x:c>
      <x:c r="B4" t="str">
        <x:v>qTest</x:v>
      </x:c>
      <x:c r="C4" t="str">
        <x:v>Project</x:v>
      </x:c>
      <x:c r="D4" t="str">
        <x:v>No active blocking issue is currently confirmed; open prerequisites are tracked as dependencies.</x:v>
      </x:c>
      <x:c r="E4" t="str">
        <x:v>No current migration stop.</x:v>
      </x:c>
      <x:c r="F4" t="str">
        <x:v>Low</x:v>
      </x:c>
      <x:c r="G4" t="str">
        <x:v>Project Lead</x:v>
      </x:c>
      <x:c r="H4" t="str">
        <x:v>Review weekly and convert any failed/overdue dependency into an active issue when it blocks progress.</x:v>
      </x:c>
      <x:c r="I4" t="str">
        <x:v>Monitoring</x:v>
      </x:c>
      <x:c r="J4" t="str"/>
      <x:c r="K4" t="str"/>
      <x:c r="L4" t="str"/>
      <x:c r="M4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2" width="14" style="3" customWidth="1"/>
    <x:col min="3" max="3" width="32" style="3" customWidth="1"/>
    <x:col min="4" max="4" width="42" style="3" customWidth="1"/>
    <x:col min="5" max="5" width="22" style="3" customWidth="1"/>
    <x:col min="6" max="6" width="24" style="3" customWidth="1"/>
    <x:col min="7" max="7" width="14" style="3" customWidth="1"/>
    <x:col min="8" max="8" width="18" style="3" customWidth="1"/>
    <x:col min="9" max="9" width="30" style="3" customWidth="1"/>
    <x:col min="10" max="16384" width="9" style="3" customWidth="0"/>
  </x:cols>
  <x:sheetData>
    <x:row r="1" ht="27.950000762939453" customHeight="1">
      <x:c r="A1" s="7" t="s">
        <x:v>31</x:v>
      </x:c>
      <x:c r="B1" s="11"/>
      <x:c r="C1" s="11"/>
      <x:c r="D1" s="11"/>
      <x:c r="E1" s="11"/>
      <x:c r="F1" s="11"/>
      <x:c r="G1" s="11"/>
      <x:c r="H1" s="11"/>
      <x:c r="I1" s="11"/>
    </x:row>
    <x:row r="2">
      <x:c r="A2" s="8" t="s">
        <x:v>32</x:v>
      </x:c>
      <x:c r="B2" s="11"/>
      <x:c r="C2" s="11"/>
      <x:c r="D2" s="11"/>
      <x:c r="E2" s="11"/>
      <x:c r="F2" s="11"/>
      <x:c r="G2" s="11"/>
      <x:c r="H2" s="11"/>
      <x:c r="I2" s="11"/>
    </x:row>
    <x:row r="3" ht="28.5">
      <x:c r="A3" s="4" t="s">
        <x:v>33</x:v>
      </x:c>
      <x:c r="B3" s="4" t="s">
        <x:v>34</x:v>
      </x:c>
      <x:c r="C3" s="4" t="s">
        <x:v>35</x:v>
      </x:c>
      <x:c r="D3" s="4" t="s">
        <x:v>36</x:v>
      </x:c>
      <x:c r="E3" s="4" t="s">
        <x:v>10</x:v>
      </x:c>
      <x:c r="F3" s="4" t="s">
        <x:v>37</x:v>
      </x:c>
      <x:c r="G3" s="4" t="s">
        <x:v>6</x:v>
      </x:c>
      <x:c r="H3" s="4" t="s">
        <x:v>38</x:v>
      </x:c>
      <x:c r="I3" s="4" t="s">
        <x:v>13</x:v>
      </x:c>
    </x:row>
    <x:row r="4" ht="28.5">
      <x:c r="A4" s="5" t="str">
        <x:v>D-001</x:v>
      </x:c>
      <x:c r="B4" s="5" t="str">
        <x:v>POC / Full</x:v>
      </x:c>
      <x:c r="C4" s="5" t="str">
        <x:v>HCSC qTest licensing and permissions</x:v>
      </x:c>
      <x:c r="D4" s="5" t="str">
        <x:v>HS users can share the HCSC AD identity, but still require qTest licenses and target authorization.</x:v>
      </x:c>
      <x:c r="E4" s="5" t="str">
        <x:v>HCSC qTest Admin</x:v>
      </x:c>
      <x:c r="F4" s="5" t="str">
        <x:v>Before POC validation / user testing</x:v>
      </x:c>
      <x:c r="G4" s="5" t="str">
        <x:v>Open</x:v>
      </x:c>
      <x:c r="H4" s="5" t="str"/>
      <x:c r="I4" s="5" t="str"/>
    </x:row>
    <x:row r="5" ht="28.5">
      <x:c r="A5" s="5" t="str">
        <x:v>D-002</x:v>
      </x:c>
      <x:c r="B5" s="5" t="str">
        <x:v>POC / Full</x:v>
      </x:c>
      <x:c r="C5" s="5" t="str">
        <x:v>HS permission groups / profiles assessment</x:v>
      </x:c>
      <x:c r="D5" s="5" t="str">
        <x:v>Required HS permission groups/profiles may need to be recreated in HCSC qTest.</x:v>
      </x:c>
      <x:c r="E5" s="5" t="str">
        <x:v>HCSC qTest Admin / ELEKS</x:v>
      </x:c>
      <x:c r="F5" s="5" t="str">
        <x:v>Before rehearsal</x:v>
      </x:c>
      <x:c r="G5" s="5" t="str">
        <x:v>Open</x:v>
      </x:c>
      <x:c r="H5" s="5" t="str"/>
      <x:c r="I5" s="5" t="str">
        <x:v>Determine whether HS group/profile/permission information can be extracted by available qTest API/SCIM/admin methods.</x:v>
      </x:c>
    </x:row>
    <x:row r="6" ht="28.5">
      <x:c r="A6" s="5" t="str">
        <x:v>D-003</x:v>
      </x:c>
      <x:c r="B6" s="5" t="str">
        <x:v>POC</x:v>
      </x:c>
      <x:c r="C6" s="5" t="str">
        <x:v>HCSC target project and API write access</x:v>
      </x:c>
      <x:c r="D6" s="5" t="str">
        <x:v>Importer requires a configured HCSC test project and credentials with create/update permissions.</x:v>
      </x:c>
      <x:c r="E6" s="5" t="str">
        <x:v>HCSC qTest Admin</x:v>
      </x:c>
      <x:c r="F6" s="5" t="str">
        <x:v>Before POC import</x:v>
      </x:c>
      <x:c r="G6" s="5" t="str">
        <x:v>Open</x:v>
      </x:c>
      <x:c r="H6" s="5" t="str"/>
      <x:c r="I6" s="5" t="str"/>
    </x:row>
    <x:row r="7" ht="28.5">
      <x:c r="A7" s="5" t="str">
        <x:v>D-004</x:v>
      </x:c>
      <x:c r="B7" s="5" t="str">
        <x:v>POC / Full</x:v>
      </x:c>
      <x:c r="C7" s="5" t="str">
        <x:v>SharePoint migration storage and access</x:v>
      </x:c>
      <x:c r="D7" s="5" t="str">
        <x:v>Approved shared storage is required for HS export packages, mappings, attachments, and logs before HCSC import.</x:v>
      </x:c>
      <x:c r="E7" s="5" t="str">
        <x:v>Platform / Security</x:v>
      </x:c>
      <x:c r="F7" s="5" t="str">
        <x:v>Before POC import</x:v>
      </x:c>
      <x:c r="G7" s="5" t="str">
        <x:v>Open</x:v>
      </x:c>
      <x:c r="H7" s="5" t="str"/>
      <x:c r="I7" s="5" t="str">
        <x:v>Connectivity/access path has been tested; confirm operational permissions and retention.</x:v>
      </x:c>
    </x:row>
    <x:row r="8" ht="28.5">
      <x:c r="A8" s="5" t="str">
        <x:v>D-005</x:v>
      </x:c>
      <x:c r="B8" s="5" t="str">
        <x:v>Full</x:v>
      </x:c>
      <x:c r="C8" s="5" t="str">
        <x:v>Final Jira source-to-target mapping</x:v>
      </x:c>
      <x:c r="D8" s="5" t="str">
        <x:v>External Jira references must point to the approved HCSC-side target projects; mappings may change during the project.</x:v>
      </x:c>
      <x:c r="E8" s="5" t="str">
        <x:v>Jira Integration Owner</x:v>
      </x:c>
      <x:c r="F8" s="5" t="str">
        <x:v>Before final migration</x:v>
      </x:c>
      <x:c r="G8" s="5" t="str">
        <x:v>Open</x:v>
      </x:c>
      <x:c r="H8" s="5" t="str"/>
      <x:c r="I8" s="5" t="str">
        <x:v>Keep mapping configurable and external to migration code.</x:v>
      </x:c>
    </x:row>
    <x:row r="9" ht="28.5">
      <x:c r="A9" s="5"/>
      <x:c r="B9" s="5"/>
      <x:c r="C9" s="5"/>
      <x:c r="D9" s="5"/>
      <x:c r="E9" s="5"/>
      <x:c r="F9" s="5"/>
      <x:c r="G9" s="5"/>
      <x:c r="H9" s="5"/>
      <x:c r="I9" s="5"/>
    </x:row>
    <x:row r="10" ht="28.5">
      <x:c r="A10" s="5"/>
      <x:c r="B10" s="5"/>
      <x:c r="C10" s="5"/>
      <x:c r="D10" s="5"/>
      <x:c r="E10" s="5"/>
      <x:c r="F10" s="5"/>
      <x:c r="G10" s="5"/>
      <x:c r="H10" s="5"/>
      <x:c r="I10" s="5"/>
    </x:row>
    <x:row r="11" ht="28.5">
      <x:c r="A11" s="5"/>
      <x:c r="B11" s="5"/>
      <x:c r="C11" s="5"/>
      <x:c r="D11" s="5"/>
      <x:c r="E11" s="5"/>
      <x:c r="F11" s="5"/>
      <x:c r="G11" s="5"/>
      <x:c r="H11" s="5"/>
      <x:c r="I11" s="5"/>
    </x:row>
    <x:row r="12" ht="28.5">
      <x:c r="A12" s="5"/>
      <x:c r="B12" s="5"/>
      <x:c r="C12" s="5"/>
      <x:c r="D12" s="5"/>
      <x:c r="E12" s="5"/>
      <x:c r="F12" s="5"/>
      <x:c r="G12" s="5"/>
      <x:c r="H12" s="5"/>
      <x:c r="I12" s="5"/>
    </x:row>
    <x:row r="13" ht="43.5">
      <x:c r="A13" s="5"/>
      <x:c r="B13" s="5"/>
      <x:c r="C13" s="5"/>
      <x:c r="D13" s="5"/>
      <x:c r="E13" s="5"/>
      <x:c r="F13" s="5"/>
      <x:c r="G13" s="5"/>
      <x:c r="H13" s="5"/>
      <x:c r="I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</x:row>
    <x:row r="15" ht="28.5">
      <x:c r="A15" s="5"/>
      <x:c r="B15" s="5"/>
      <x:c r="C15" s="5"/>
      <x:c r="D15" s="5"/>
      <x:c r="E15" s="5"/>
      <x:c r="F15" s="5"/>
      <x:c r="G15" s="5"/>
      <x:c r="H15" s="5"/>
      <x:c r="I15" s="5"/>
    </x:row>
    <x:row r="16" ht="28.5">
      <x:c r="A16" s="5"/>
      <x:c r="B16" s="5"/>
      <x:c r="C16" s="5"/>
      <x:c r="D16" s="5"/>
      <x:c r="E16" s="5"/>
      <x:c r="F16" s="5"/>
      <x:c r="G16" s="5"/>
      <x:c r="H16" s="5"/>
      <x:c r="I16" s="5"/>
    </x:row>
    <x:row r="17" ht="28.5">
      <x:c r="A17" s="5"/>
      <x:c r="B17" s="5"/>
      <x:c r="C17" s="5"/>
      <x:c r="D17" s="5"/>
      <x:c r="E17" s="5"/>
      <x:c r="F17" s="5"/>
      <x:c r="G17" s="5"/>
      <x:c r="H17" s="5"/>
      <x:c r="I17" s="5"/>
    </x:row>
  </x:sheetData>
  <x:mergeCells>
    <x:mergeCell ref="A1:I1"/>
    <x:mergeCell ref="A2:I2"/>
  </x:mergeCells>
  <x:conditionalFormatting sqref="G4:G17">
    <x:cfRule type="expression" dxfId="3" priority="1">
      <x:formula>G4="Open"</x:formula>
    </x:cfRule>
    <x:cfRule type="expression" dxfId="2" priority="2">
      <x:formula>G4="In Progress"</x:formula>
    </x:cfRule>
    <x:cfRule type="expression" dxfId="1" priority="3">
      <x:formula>OR(G4="Closed",G4="Complete",G4="Validated",G4="Mitigated")</x:formula>
    </x:cfRule>
    <x:cfRule type="expression" dxfId="0" priority="4">
      <x:formula>OR(G4="Blocked",G4="Escalated")</x:formula>
    </x:cfRule>
  </x:conditionalFormatting>
  <x:dataValidations count="1">
    <x:dataValidation type="list" sqref="G4:G17">
      <x:formula1>"Open,In Progress,Mitigated,Closed,Escalated,Complete,Validated,Blocked"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2" style="3" customWidth="1"/>
    <x:col min="2" max="2" width="38" style="3" customWidth="1"/>
    <x:col min="3" max="3" width="42" style="3" customWidth="1"/>
    <x:col min="4" max="4" width="24" style="3" customWidth="1"/>
    <x:col min="5" max="6" width="16" style="3" customWidth="1"/>
    <x:col min="7" max="7" width="42" style="3" customWidth="1"/>
    <x:col min="8" max="16384" width="9" style="3" customWidth="0"/>
  </x:cols>
  <x:sheetData>
    <x:row r="1" ht="15">
      <x:c r="A1" s="7" t="s">
        <x:v>39</x:v>
      </x:c>
      <x:c r="B1" s="11"/>
      <x:c r="C1" s="11"/>
      <x:c r="D1" s="11"/>
      <x:c r="E1" s="11"/>
      <x:c r="F1" s="11"/>
      <x:c r="G1" s="11"/>
    </x:row>
    <x:row r="3" ht="28.5">
      <x:c r="A3" s="4" t="s">
        <x:v>4</x:v>
      </x:c>
      <x:c r="B3" s="4" t="s">
        <x:v>40</x:v>
      </x:c>
      <x:c r="C3" s="4" t="s">
        <x:v>41</x:v>
      </x:c>
      <x:c r="D3" s="4" t="s">
        <x:v>42</x:v>
      </x:c>
      <x:c r="E3" s="4" t="s">
        <x:v>43</x:v>
      </x:c>
      <x:c r="F3" s="4" t="s">
        <x:v>44</x:v>
      </x:c>
      <x:c r="G3" s="4" t="s">
        <x:v>45</x:v>
      </x:c>
    </x:row>
    <x:row r="4">
      <x:c r="A4" s="6" t="s">
        <x:v>46</x:v>
      </x:c>
      <x:c r="B4" s="6" t="n">
        <x:f>COUNTIF(Risks!E4:E95,"Open")</x:f>
        <x:v>3</x:v>
      </x:c>
      <x:c r="C4" s="6" t="n">
        <x:f>COUNTIF(Risks!E4:E95,"In Progress")</x:f>
        <x:v>1</x:v>
      </x:c>
      <x:c r="D4" s="6" t="n">
        <x:f>COUNTIF(Risks!E4:E95,"Mitigated")+COUNTIF(Risks!E4:E95,"Closed")</x:f>
        <x:v>0</x:v>
      </x:c>
      <x:c r="E4" s="6" t="n">
        <x:f>COUNTIF(Risks!E4:E95,"Blocked")+COUNTIF(Risks!E4:E95,"Escalated")</x:f>
        <x:v>0</x:v>
      </x:c>
      <x:c r="F4" s="6" t="n">
        <x:f>SUM(B4:E4)</x:f>
        <x:v>4</x:v>
      </x:c>
      <x:c r="G4" s="6" t="str">
        <x:v>API/version fidelity; user authorization</x:v>
      </x:c>
    </x:row>
    <x:row r="5">
      <x:c r="A5" s="6" t="s">
        <x:v>47</x:v>
      </x:c>
      <x:c r="B5" s="6" t="n">
        <x:f>COUNTIF(Assumptions!G4:G100,"Open")</x:f>
        <x:v>0</x:v>
      </x:c>
      <x:c r="C5" s="6" t="n">
        <x:f>COUNTIF(Assumptions!G4:G100,"In Progress")</x:f>
        <x:v>1</x:v>
      </x:c>
      <x:c r="D5" s="6" t="n">
        <x:f>COUNTIF(Assumptions!G4:G100,"Validated")+COUNTIF(Assumptions!G4:G100,"Complete")</x:f>
        <x:v>2</x:v>
      </x:c>
      <x:c r="E5" s="6" t="n">
        <x:f>COUNTIF(Assumptions!G4:G100,"Blocked")</x:f>
        <x:v>0</x:v>
      </x:c>
      <x:c r="F5" s="6" t="n">
        <x:f>SUM(B5:E5)</x:f>
        <x:v>3</x:v>
      </x:c>
      <x:c r="G5" s="6" t="str">
        <x:v>Identity reuse; SharePoint operating model</x:v>
      </x:c>
    </x:row>
    <x:row r="6">
      <x:c r="A6" s="6" t="s">
        <x:v>48</x:v>
      </x:c>
      <x:c r="B6" s="6" t="n">
        <x:f>COUNTIF(Issues!I4:I98,"Open")</x:f>
        <x:v>0</x:v>
      </x:c>
      <x:c r="C6" s="6" t="n">
        <x:f>COUNTIF(Issues!I4:I98,"In Progress")</x:f>
        <x:v>0</x:v>
      </x:c>
      <x:c r="D6" s="6" t="n">
        <x:f>COUNTIF(Issues!I4:I98,"Closed")</x:f>
        <x:v>0</x:v>
      </x:c>
      <x:c r="E6" s="6" t="n">
        <x:f>COUNTIF(Issues!I4:I98,"Blocked")+COUNTIF(Issues!I4:I98,"Escalated")</x:f>
        <x:v>0</x:v>
      </x:c>
      <x:c r="F6" s="6" t="n">
        <x:f>SUM(B6:E6)</x:f>
        <x:v>0</x:v>
      </x:c>
      <x:c r="G6" s="6" t="str">
        <x:v>No current blocker; monitor dependencies</x:v>
      </x:c>
    </x:row>
    <x:row r="7">
      <x:c r="A7" s="6" t="s">
        <x:v>49</x:v>
      </x:c>
      <x:c r="B7" s="6" t="n">
        <x:f>COUNTIF(Dependencies!G4:G99,"Open")</x:f>
        <x:v>5</x:v>
      </x:c>
      <x:c r="C7" s="6" t="n">
        <x:f>COUNTIF(Dependencies!G4:G99,"In Progress")</x:f>
        <x:v>0</x:v>
      </x:c>
      <x:c r="D7" s="6" t="n">
        <x:f>COUNTIF(Dependencies!G4:G99,"Complete")+COUNTIF(Dependencies!G4:G99,"Validated")</x:f>
        <x:v>0</x:v>
      </x:c>
      <x:c r="E7" s="6" t="n">
        <x:f>COUNTIF(Dependencies!G4:G99,"Blocked")</x:f>
        <x:v>0</x:v>
      </x:c>
      <x:c r="F7" s="6" t="n">
        <x:f>SUM(B7:E7)</x:f>
        <x:v>5</x:v>
      </x:c>
      <x:c r="G7" s="6" t="str">
        <x:v>Licensing/permissions, groups, HCSC target, SharePoint, Jira</x:v>
      </x:c>
    </x:row>
    <x:row r="9">
      <x:c r="A9" s="9" t="s">
        <x:v>50</x:v>
      </x:c>
      <x:c r="B9" s="11"/>
      <x:c r="C9" s="11"/>
      <x:c r="D9" s="11"/>
      <x:c r="E9" s="11"/>
      <x:c r="F9" s="11"/>
      <x:c r="G9" s="11"/>
    </x:row>
    <x:row r="10">
      <x:c r="A10" s="4" t="s">
        <x:v>51</x:v>
      </x:c>
      <x:c r="B10" s="4" t="s">
        <x:v>52</x:v>
      </x:c>
      <x:c r="C10" s="4" t="s">
        <x:v>53</x:v>
      </x:c>
      <x:c r="D10" s="4" t="s">
        <x:v>10</x:v>
      </x:c>
    </x:row>
    <x:row r="11">
      <x:c r="A11" s="3" t="str">
        <x:v>POC Ready</x:v>
      </x:c>
      <x:c r="B11" s="3" t="str">
        <x:v>POC package, HCSC target access and required prerequisites ready</x:v>
      </x:c>
      <x:c r="C11" s="3" t="str">
        <x:v>POC readiness checklist</x:v>
      </x:c>
      <x:c r="D11" s="3" t="str">
        <x:v>POC Lead / HCSC</x:v>
      </x:c>
    </x:row>
    <x:row r="12">
      <x:c r="A12" s="3" t="str">
        <x:v>POC GO/NO-GO</x:v>
      </x:c>
      <x:c r="B12" s="3" t="str">
        <x:v>Representative export/import validated and limitations accepted</x:v>
      </x:c>
      <x:c r="C12" s="3" t="str">
        <x:v>POC reconciliation + demo</x:v>
      </x:c>
      <x:c r="D12" s="3" t="str">
        <x:v>Client / Project Team</x:v>
      </x:c>
    </x:row>
    <x:row r="13">
      <x:c r="A13" s="3" t="str">
        <x:v>Rehearsal Ready</x:v>
      </x:c>
      <x:c r="B13" s="3" t="str">
        <x:v>Full-scope tooling and target dependencies ready</x:v>
      </x:c>
      <x:c r="C13" s="3" t="str">
        <x:v>Rehearsal readiness evidence</x:v>
      </x:c>
      <x:c r="D13" s="3" t="str">
        <x:v>Project Team</x:v>
      </x:c>
    </x:row>
    <x:row r="14">
      <x:c r="A14" s="3" t="str">
        <x:v>Final Acceptance</x:v>
      </x:c>
      <x:c r="B14" s="3" t="str">
        <x:v>Final import reconciled and accepted</x:v>
      </x:c>
      <x:c r="C14" s="3" t="str">
        <x:v>Validation results + sign-off</x:v>
      </x:c>
      <x:c r="D14" s="3" t="str">
        <x:v>QA / Business</x:v>
      </x:c>
    </x:row>
  </x:sheetData>
  <x:mergeCells>
    <x:mergeCell ref="A1:G1"/>
    <x:mergeCell ref="A9:G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customWidth="1"/>
    <x:col min="2" max="2" width="75" customWidth="1"/>
  </x:cols>
  <x:sheetData>
    <x:row r="1">
      <x:c r="A1" s="10" t="s">
        <x:v>54</x:v>
      </x:c>
      <x:c r="B1" s="12"/>
    </x:row>
    <x:row r="3">
      <x:c r="A3" s="2" t="str">
        <x:v>Purpose</x:v>
      </x:c>
      <x:c r="B3" s="1" t="str">
        <x:v>Concise stakeholder RAID for the HS qTest export / HCSC qTest import project.</x:v>
      </x:c>
    </x:row>
    <x:row r="4">
      <x:c r="A4" s="2" t="str">
        <x:v>Current status</x:v>
      </x:c>
      <x:c r="B4" s="1" t="str">
        <x:v>Discovery complete; POC Export Package in progress.</x:v>
      </x:c>
    </x:row>
    <x:row r="5">
      <x:c r="A5" s="2" t="str">
        <x:v>Migration approach</x:v>
      </x:c>
      <x:c r="B5" s="1" t="str">
        <x:v>HS qTest → export package → approved SharePoint storage → HCSC import scripts.</x:v>
      </x:c>
    </x:row>
    <x:row r="6">
      <x:c r="A6" s="2" t="str">
        <x:v>Connectivity</x:v>
      </x:c>
      <x:c r="B6" s="1" t="str">
        <x:v>Connectivity/access required by the migration process has been tested successfully; migration is still file-mediated rather than direct qTest-to-qTest transfer.</x:v>
      </x:c>
    </x:row>
    <x:row r="7">
      <x:c r="A7" s="2" t="str">
        <x:v>Users</x:v>
      </x:c>
      <x:c r="B7" s="1" t="str">
        <x:v>HS users are already synchronized with HCSC Active Directory; HCSC qTest licensing and permissions are still required.</x:v>
      </x:c>
    </x:row>
    <x:row r="8">
      <x:c r="A8" s="2" t="str">
        <x:v>Permissions</x:v>
      </x:c>
      <x:c r="B8" s="1" t="str">
        <x:v>Required HS groups/profiles may need recreation in HCSC; export/API/SCIM options must be confirmed.</x:v>
      </x:c>
    </x:row>
    <x:row r="9">
      <x:c r="A9" s="2" t="str">
        <x:v>POC</x:v>
      </x:c>
      <x:c r="B9" s="1" t="str">
        <x:v>Reduced representative scope validates export, import, mapping, relationships and reconciliation before GO/NO-GO.</x:v>
      </x:c>
    </x:row>
    <x:row r="10">
      <x:c r="A10" s="2" t="str">
        <x:v>Tracking</x:v>
      </x:c>
      <x:c r="B10" s="1" t="str">
        <x:v>Keep only material risks/dependencies here; detailed implementation work remains in Jira/project plan.</x:v>
      </x:c>
    </x:row>
  </x:sheetData>
  <x:mergeCells>
    <x:mergeCell ref="A1:B1"/>
  </x:mergeCells>
  <x:pageMargins left="0.7" right="0.7" top="0.75" bottom="0.75" header="0.3" footer="0.3"/>
</x:worksheet>
</file>