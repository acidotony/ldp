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2666c5828b47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line" sheetId="1" r:id="R68a685223ffe4b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-mmm-yyyy"/>
    <x:numFmt numFmtId="201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555555"/>
      <x:name val="Carlito"/>
    </x:font>
    <x:font>
      <x:b/>
      <x:sz val="11"/>
      <x:color rgb="FF37562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20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200" fontId="3" fillId="5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c70919a09c4cad" /><Relationship Type="http://schemas.openxmlformats.org/officeDocument/2006/relationships/theme" Target="/xl/theme/theme1.xml" Id="R529d82864b3942a3" /><Relationship Type="http://schemas.openxmlformats.org/officeDocument/2006/relationships/sharedStrings" Target="/xl/sharedStrings.xml" Id="R0eb9b6e44e4f4b58" /><Relationship Type="http://schemas.openxmlformats.org/officeDocument/2006/relationships/worksheet" Target="/xl/worksheets/sheet1.xml" Id="R68a685223ffe4b61" /></Relationships>
</file>

<file path=xl/tables/table1.xml><?xml version="1.0" encoding="utf-8"?>
<x:table xmlns:x="http://schemas.openxmlformats.org/spreadsheetml/2006/main" id="1" name="MigrationTimeline" displayName="MigrationTimeline" ref="A9:I17" headerRowCount="1" totalsRowCount="0" totalsRowShown="0">
  <x:tableColumns count="9">
    <x:tableColumn id="1" name="#"/>
    <x:tableColumn id="2" name="Migration Phase"/>
    <x:tableColumn id="3" name="Status"/>
    <x:tableColumn id="4" name="Duration (Days)"/>
    <x:tableColumn id="5" name="Start Date"/>
    <x:tableColumn id="6" name="Finish Date"/>
    <x:tableColumn id="7" name="Dependency / Gate"/>
    <x:tableColumn id="8" name="Owner"/>
    <x:tableColumn id="9" name="Main Outpu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8bdd57ffc6e4c8d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1" hidden="0" customWidth="1"/>
    <x:col min="3" max="3" width="15" hidden="0" customWidth="1"/>
    <x:col min="4" max="4" width="16" hidden="0" customWidth="1"/>
    <x:col min="5" max="5" width="16" hidden="0" customWidth="1"/>
    <x:col min="6" max="6" width="16" hidden="0" customWidth="1"/>
    <x:col min="7" max="7" width="31" hidden="0" customWidth="1"/>
    <x:col min="8" max="8" width="28" hidden="0" customWidth="1"/>
    <x:col min="9" max="9" width="35" hidden="0" customWidth="1"/>
  </x:cols>
  <x:sheetData>
    <x:row r="1" ht="28" customHeight="1">
      <x:c r="A1" s="4" t="str">
        <x:v>qTest Consolidation – Configurable Timeline</x:v>
      </x:c>
    </x:row>
    <x:row r="3">
      <x:c r="A3" s="9" t="str">
        <x:v>Planning Input</x:v>
      </x:c>
      <x:c r="B3" s="9" t="str">
        <x:v>Value</x:v>
      </x:c>
      <x:c r="D3" s="25" t="str">
        <x:v>Editable cells are highlighted in yellow. Change the Project Start Date and/or the Duration (Days) for any phase. All following dates recalculate automatically. Durations use calendar days, including weekends.</x:v>
      </x:c>
      <x:c r="E3" s="25"/>
      <x:c r="F3" s="25"/>
      <x:c r="G3" s="25"/>
      <x:c r="H3" s="25"/>
      <x:c r="I3" s="25"/>
    </x:row>
    <x:row r="4">
      <x:c r="A4" s="13" t="str">
        <x:v>Project Start Date</x:v>
      </x:c>
      <x:c r="B4" s="18" t="n">
        <x:v>46272</x:v>
      </x:c>
      <x:c r="D4" s="25"/>
      <x:c r="E4" s="25"/>
      <x:c r="F4" s="25"/>
      <x:c r="G4" s="25"/>
      <x:c r="H4" s="25"/>
      <x:c r="I4" s="25"/>
    </x:row>
    <x:row r="5">
      <x:c r="A5" s="13" t="str">
        <x:v>Target End Date</x:v>
      </x:c>
      <x:c r="B5" s="18" t="n">
        <x:v>46326</x:v>
      </x:c>
      <x:c r="D5" s="25"/>
      <x:c r="E5" s="25"/>
      <x:c r="F5" s="25"/>
      <x:c r="G5" s="25"/>
      <x:c r="H5" s="25"/>
      <x:c r="I5" s="25"/>
    </x:row>
    <x:row r="6">
      <x:c r="A6" s="13" t="str">
        <x:v>Total Planned Days</x:v>
      </x:c>
      <x:c r="B6" t="n">
        <x:f>SUM(D10:D17)</x:f>
        <x:v>51</x:v>
      </x:c>
      <x:c r="D6" s="25"/>
      <x:c r="E6" s="25"/>
      <x:c r="F6" s="25"/>
      <x:c r="G6" s="25"/>
      <x:c r="H6" s="25"/>
      <x:c r="I6" s="25"/>
    </x:row>
    <x:row r="9">
      <x:c r="A9" s="32" t="str">
        <x:v>#</x:v>
      </x:c>
      <x:c r="B9" s="32" t="str">
        <x:v>Migration Phase</x:v>
      </x:c>
      <x:c r="C9" s="32" t="str">
        <x:v>Status</x:v>
      </x:c>
      <x:c r="D9" s="32" t="str">
        <x:v>Duration (Days)</x:v>
      </x:c>
      <x:c r="E9" s="32" t="str">
        <x:v>Start Date</x:v>
      </x:c>
      <x:c r="F9" s="32" t="str">
        <x:v>Finish Date</x:v>
      </x:c>
      <x:c r="G9" s="32" t="str">
        <x:v>Dependency / Gate</x:v>
      </x:c>
      <x:c r="H9" s="32" t="str">
        <x:v>Owner</x:v>
      </x:c>
      <x:c r="I9" s="32" t="str">
        <x:v>Main Output</x:v>
      </x:c>
    </x:row>
    <x:row r="10">
      <x:c r="A10" s="44" t="n">
        <x:v>1</x:v>
      </x:c>
      <x:c r="B10" s="44" t="str">
        <x:v>Discovery &amp; Source Assessment</x:v>
      </x:c>
      <x:c r="C10" s="44" t="str">
        <x:v>Complete</x:v>
      </x:c>
      <x:c r="D10" s="45" t="n">
        <x:v>5</x:v>
      </x:c>
      <x:c r="E10" s="46" t="n">
        <x:f>$B$4</x:f>
        <x:v>46272</x:v>
      </x:c>
      <x:c r="F10" s="46" t="n">
        <x:f>E10+D10-1</x:f>
        <x:v>46276</x:v>
      </x:c>
      <x:c r="G10" s="44" t="str">
        <x:v>Project start</x:v>
      </x:c>
      <x:c r="H10" s="44" t="str">
        <x:v>ELEKS qTest Migration Team</x:v>
      </x:c>
      <x:c r="I10" s="44" t="str">
        <x:v>Discovery baseline</x:v>
      </x:c>
    </x:row>
    <x:row r="11">
      <x:c r="A11" s="44" t="n">
        <x:v>2</x:v>
      </x:c>
      <x:c r="B11" s="44" t="str">
        <x:v>POC Export Package</x:v>
      </x:c>
      <x:c r="C11" s="44" t="str">
        <x:v>In Progress</x:v>
      </x:c>
      <x:c r="D11" s="45" t="n">
        <x:v>7</x:v>
      </x:c>
      <x:c r="E11" s="46" t="n">
        <x:f>F10+1</x:f>
        <x:v>46277</x:v>
      </x:c>
      <x:c r="F11" s="46" t="n">
        <x:f>E11+D11-1</x:f>
        <x:v>46283</x:v>
      </x:c>
      <x:c r="G11" s="44" t="str">
        <x:v>Discovery complete</x:v>
      </x:c>
      <x:c r="H11" s="44" t="str">
        <x:v>ELEKS qTest Migration Team</x:v>
      </x:c>
      <x:c r="I11" s="44" t="str">
        <x:v>Validated POC export package</x:v>
      </x:c>
    </x:row>
    <x:row r="12">
      <x:c r="A12" s="44" t="n">
        <x:v>3</x:v>
      </x:c>
      <x:c r="B12" s="44" t="str">
        <x:v>POC Import &amp; Transformation</x:v>
      </x:c>
      <x:c r="C12" s="44" t="str">
        <x:v>Open</x:v>
      </x:c>
      <x:c r="D12" s="45" t="n">
        <x:v>10</x:v>
      </x:c>
      <x:c r="E12" s="46" t="n">
        <x:f>F11+1</x:f>
        <x:v>46284</x:v>
      </x:c>
      <x:c r="F12" s="46" t="n">
        <x:f>E12+D12-1</x:f>
        <x:v>46293</x:v>
      </x:c>
      <x:c r="G12" s="44" t="str">
        <x:v>POC package + HCSC readiness</x:v>
      </x:c>
      <x:c r="H12" s="44" t="str">
        <x:v>ELEKS qTest Migration Team</x:v>
      </x:c>
      <x:c r="I12" s="44" t="str">
        <x:v>POC imported with ID mappings</x:v>
      </x:c>
    </x:row>
    <x:row r="13">
      <x:c r="A13" s="44" t="n">
        <x:v>4</x:v>
      </x:c>
      <x:c r="B13" s="44" t="str">
        <x:v>POC Validation &amp; Client Approval</x:v>
      </x:c>
      <x:c r="C13" s="44" t="str">
        <x:v>Open</x:v>
      </x:c>
      <x:c r="D13" s="45" t="n">
        <x:v>5</x:v>
      </x:c>
      <x:c r="E13" s="46" t="n">
        <x:f>F12+1</x:f>
        <x:v>46294</x:v>
      </x:c>
      <x:c r="F13" s="46" t="n">
        <x:f>E13+D13-1</x:f>
        <x:v>46298</x:v>
      </x:c>
      <x:c r="G13" s="44" t="str">
        <x:v>POC import complete</x:v>
      </x:c>
      <x:c r="H13" s="44" t="str">
        <x:v>POC Lead / QA Lead</x:v>
      </x:c>
      <x:c r="I13" s="44" t="str">
        <x:v>POC GO / NO-GO</x:v>
      </x:c>
    </x:row>
    <x:row r="14">
      <x:c r="A14" s="44" t="n">
        <x:v>5</x:v>
      </x:c>
      <x:c r="B14" s="44" t="str">
        <x:v>Target Configuration &amp; Dependencies</x:v>
      </x:c>
      <x:c r="C14" s="44" t="str">
        <x:v>Open</x:v>
      </x:c>
      <x:c r="D14" s="45" t="n">
        <x:v>6</x:v>
      </x:c>
      <x:c r="E14" s="46" t="n">
        <x:f>F13+1</x:f>
        <x:v>46299</x:v>
      </x:c>
      <x:c r="F14" s="46" t="n">
        <x:f>E14+D14-1</x:f>
        <x:v>46304</x:v>
      </x:c>
      <x:c r="G14" s="44" t="str">
        <x:v>POC approval / parallel readiness</x:v>
      </x:c>
      <x:c r="H14" s="44" t="str">
        <x:v>HCSC qTest Admin / Owners</x:v>
      </x:c>
      <x:c r="I14" s="44" t="str">
        <x:v>Licensing, permissions, groups and mappings ready</x:v>
      </x:c>
    </x:row>
    <x:row r="15">
      <x:c r="A15" s="44" t="n">
        <x:v>6</x:v>
      </x:c>
      <x:c r="B15" s="44" t="str">
        <x:v>Full Import Tooling &amp; Rehearsal</x:v>
      </x:c>
      <x:c r="C15" s="44" t="str">
        <x:v>Open</x:v>
      </x:c>
      <x:c r="D15" s="45" t="n">
        <x:v>8</x:v>
      </x:c>
      <x:c r="E15" s="46" t="n">
        <x:f>F14+1</x:f>
        <x:v>46305</x:v>
      </x:c>
      <x:c r="F15" s="46" t="n">
        <x:f>E15+D15-1</x:f>
        <x:v>46312</x:v>
      </x:c>
      <x:c r="G15" s="44" t="str">
        <x:v>POC GO + target readiness</x:v>
      </x:c>
      <x:c r="H15" s="44" t="str">
        <x:v>ELEKS qTest Migration Team</x:v>
      </x:c>
      <x:c r="I15" s="44" t="str">
        <x:v>Accepted rehearsal</x:v>
      </x:c>
    </x:row>
    <x:row r="16">
      <x:c r="A16" s="44" t="n">
        <x:v>7</x:v>
      </x:c>
      <x:c r="B16" s="44" t="str">
        <x:v>Final Export &amp; Import</x:v>
      </x:c>
      <x:c r="C16" s="44" t="str">
        <x:v>Open</x:v>
      </x:c>
      <x:c r="D16" s="45" t="n">
        <x:v>6</x:v>
      </x:c>
      <x:c r="E16" s="46" t="n">
        <x:f>F15+1</x:f>
        <x:v>46313</x:v>
      </x:c>
      <x:c r="F16" s="46" t="n">
        <x:f>E16+D16-1</x:f>
        <x:v>46318</x:v>
      </x:c>
      <x:c r="G16" s="44" t="str">
        <x:v>Accepted rehearsal</x:v>
      </x:c>
      <x:c r="H16" s="44" t="str">
        <x:v>ELEKS qTest Migration Team</x:v>
      </x:c>
      <x:c r="I16" s="44" t="str">
        <x:v>Final import complete</x:v>
      </x:c>
    </x:row>
    <x:row r="17">
      <x:c r="A17" s="44" t="n">
        <x:v>8</x:v>
      </x:c>
      <x:c r="B17" s="44" t="str">
        <x:v>Final Validation &amp; Acceptance</x:v>
      </x:c>
      <x:c r="C17" s="44" t="str">
        <x:v>Open</x:v>
      </x:c>
      <x:c r="D17" s="45" t="n">
        <x:v>4</x:v>
      </x:c>
      <x:c r="E17" s="46" t="n">
        <x:f>F16+1</x:f>
        <x:v>46319</x:v>
      </x:c>
      <x:c r="F17" s="46" t="n">
        <x:f>E17+D17-1</x:f>
        <x:v>46322</x:v>
      </x:c>
      <x:c r="G17" s="44" t="str">
        <x:v>Final import complete</x:v>
      </x:c>
      <x:c r="H17" s="44" t="str">
        <x:v>QA / Business Owners</x:v>
      </x:c>
      <x:c r="I17" s="44" t="str">
        <x:v>Formal acceptance</x:v>
      </x:c>
    </x:row>
    <x:row r="20">
      <x:c r="A20" s="30" t="str">
        <x:v>Schedule Summary</x:v>
      </x:c>
      <x:c r="B20" t="str"/>
      <x:c r="D20" s="55" t="str">
        <x:f>IF(B24=0,"Plan finishes exactly on the target date.",IF(B24&gt;0,"Plan finishes "&amp;B24&amp;" day(s) before the target date.","Plan finishes "&amp;ABS(B24)&amp;" day(s) after the target date."))</x:f>
        <x:v>Plan finishes 4 day(s) before the target date.</x:v>
      </x:c>
      <x:c r="E20" s="55"/>
      <x:c r="F20" s="55"/>
      <x:c r="G20" s="55"/>
      <x:c r="H20" s="55"/>
      <x:c r="I20" s="55"/>
    </x:row>
    <x:row r="21">
      <x:c r="A21" s="13" t="str">
        <x:v>Calculated Start</x:v>
      </x:c>
      <x:c r="B21" s="36" t="n">
        <x:f>E10</x:f>
        <x:v>46272</x:v>
      </x:c>
      <x:c r="D21" s="55"/>
      <x:c r="E21" s="55"/>
      <x:c r="F21" s="55"/>
      <x:c r="G21" s="55"/>
      <x:c r="H21" s="55"/>
      <x:c r="I21" s="55"/>
    </x:row>
    <x:row r="22">
      <x:c r="A22" s="13" t="str">
        <x:v>Calculated Finish</x:v>
      </x:c>
      <x:c r="B22" s="36" t="n">
        <x:f>F17</x:f>
        <x:v>46322</x:v>
      </x:c>
      <x:c r="D22" s="55"/>
      <x:c r="E22" s="55"/>
      <x:c r="F22" s="55"/>
      <x:c r="G22" s="55"/>
      <x:c r="H22" s="55"/>
      <x:c r="I22" s="55"/>
    </x:row>
    <x:row r="23">
      <x:c r="A23" s="13" t="str">
        <x:v>Target End Date</x:v>
      </x:c>
      <x:c r="B23" s="36" t="n">
        <x:f>$B$5</x:f>
        <x:v>46326</x:v>
      </x:c>
      <x:c r="D23" s="55"/>
      <x:c r="E23" s="55"/>
      <x:c r="F23" s="55"/>
      <x:c r="G23" s="55"/>
      <x:c r="H23" s="55"/>
      <x:c r="I23" s="55"/>
    </x:row>
    <x:row r="24">
      <x:c r="A24" s="13" t="str">
        <x:v>Variance to Target (Days)</x:v>
      </x:c>
      <x:c r="B24" s="50" t="n">
        <x:f>B23-B22</x:f>
        <x:v>4</x:v>
      </x:c>
      <x:c r="D24" s="55"/>
      <x:c r="E24" s="55"/>
      <x:c r="F24" s="55"/>
      <x:c r="G24" s="55"/>
      <x:c r="H24" s="55"/>
      <x:c r="I24" s="55"/>
    </x:row>
  </x:sheetData>
  <x:mergeCells>
    <x:mergeCell ref="A1:I1"/>
    <x:mergeCell ref="D3:I6"/>
    <x:mergeCell ref="A20:B20"/>
    <x:mergeCell ref="D20:I24"/>
  </x:mergeCells>
  <x:conditionalFormatting sqref="C10:C17">
    <x:cfRule type="expression" dxfId="0" priority="1">
      <x:formula>C10="Complete"</x:formula>
    </x:cfRule>
    <x:cfRule type="expression" dxfId="1" priority="2">
      <x:formula>C10="In Progress"</x:formula>
    </x:cfRule>
    <x:cfRule type="expression" dxfId="2" priority="3">
      <x:formula>C10="Blocked"</x:formula>
    </x:cfRule>
  </x:conditionalFormatting>
  <x:dataValidations count="1">
    <x:dataValidation type="list" sqref="C10:C17">
      <x:formula1>"Open,In Progress,Complete,Blocked"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bdd57ffc6e4c8d"/>
  </x:tableParts>
</x:worksheet>
</file>