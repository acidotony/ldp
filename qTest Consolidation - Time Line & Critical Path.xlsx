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U594742\Documents\"/>
    </mc:Choice>
  </mc:AlternateContent>
  <xr:revisionPtr revIDLastSave="4" documentId="13_ncr:1_{5622F99D-2950-4734-B019-F1925876C09B}" xr6:coauthVersionLast="47" xr6:coauthVersionMax="47" xr10:uidLastSave="{1401B8C6-CAEC-4BA2-9DEC-5C7371CE0E16}"/>
  <bookViews>
    <workbookView xWindow="-120" yWindow="-120" windowWidth="29040" windowHeight="15720" xr2:uid="{00000000-000D-0000-FFFF-FFFF00000000}"/>
  </bookViews>
  <sheets>
    <sheet name="Critical Pat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0" i="1"/>
  <c r="E9" i="1"/>
  <c r="F9" i="1" s="1"/>
  <c r="E10" i="1" s="1"/>
  <c r="F10" i="1" s="1"/>
  <c r="E11" i="1" s="1"/>
  <c r="F11" i="1" s="1"/>
  <c r="E12" i="1" s="1"/>
  <c r="F12" i="1" s="1"/>
  <c r="E13" i="1" s="1"/>
  <c r="F13" i="1" s="1"/>
  <c r="E14" i="1" s="1"/>
  <c r="F14" i="1" s="1"/>
  <c r="E15" i="1" s="1"/>
  <c r="F15" i="1" s="1"/>
  <c r="E16" i="1" s="1"/>
  <c r="F16" i="1" s="1"/>
  <c r="B5" i="1"/>
  <c r="B21" i="1" l="1"/>
  <c r="D19" i="1"/>
</calcChain>
</file>

<file path=xl/sharedStrings.xml><?xml version="1.0" encoding="utf-8"?>
<sst xmlns="http://schemas.openxmlformats.org/spreadsheetml/2006/main" count="50" uniqueCount="41">
  <si>
    <t>qTest Consolidation - Simplified Critical Path</t>
  </si>
  <si>
    <t>Configurable Input</t>
  </si>
  <si>
    <t>Value</t>
  </si>
  <si>
    <t>Edit only the Start Date in cell B4. All activity dates and the final completion date update automatically. Durations are calendar days, so weekends are included.</t>
  </si>
  <si>
    <t>Start Date</t>
  </si>
  <si>
    <t>Total Planned Days</t>
  </si>
  <si>
    <t>#</t>
  </si>
  <si>
    <t>Migration Element</t>
  </si>
  <si>
    <t>Main Objective</t>
  </si>
  <si>
    <t>Duration (Days)</t>
  </si>
  <si>
    <t>Finish Date</t>
  </si>
  <si>
    <t>Critical Path</t>
  </si>
  <si>
    <t>Gate / Output</t>
  </si>
  <si>
    <t>Discovery &amp; Source Assessment</t>
  </si>
  <si>
    <t>Confirm and freeze the reusable Discovery baseline.</t>
  </si>
  <si>
    <t>Yes</t>
  </si>
  <si>
    <t>Discovery Baseline</t>
  </si>
  <si>
    <t>POC Export Package</t>
  </si>
  <si>
    <t>Define POC scope and generate the controlled HS export package.</t>
  </si>
  <si>
    <t>POC Package Ready</t>
  </si>
  <si>
    <t>POC Import &amp; Transformation</t>
  </si>
  <si>
    <t>Develop mappings and recreate the selected POC elements in HCSC.</t>
  </si>
  <si>
    <t>POC Import Complete</t>
  </si>
  <si>
    <t>POC Validation &amp; Client Approval</t>
  </si>
  <si>
    <t>Reconcile POC results, document limitations, and obtain client GO/NO-GO.</t>
  </si>
  <si>
    <t>POC GO / NO-GO</t>
  </si>
  <si>
    <t>Target Configuration &amp; Dependencies</t>
  </si>
  <si>
    <t>Close HCSC configuration, access, user, Jira, and transfer dependencies.</t>
  </si>
  <si>
    <t>Target Ready</t>
  </si>
  <si>
    <t>Full Import Tooling &amp; Rehearsal</t>
  </si>
  <si>
    <t>Harden scripts for full scope and execute a focused rehearsal.</t>
  </si>
  <si>
    <t>Rehearsal Accepted</t>
  </si>
  <si>
    <t>Final Export &amp; Import</t>
  </si>
  <si>
    <t>Refresh the HS package and execute the final HCSC import.</t>
  </si>
  <si>
    <t>Final Import Complete</t>
  </si>
  <si>
    <t>Final Validation &amp; Acceptance</t>
  </si>
  <si>
    <t>Run final reconciliation, review exceptions, and obtain acceptance.</t>
  </si>
  <si>
    <t>Final Acceptance</t>
  </si>
  <si>
    <t>Schedule Summary</t>
  </si>
  <si>
    <t>Final Completion</t>
  </si>
  <si>
    <t>Total Calendar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</si>
</sst>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555555"/>
      <name val="Carlito"/>
    </font>
    <font>
      <b/>
      <sz val="11"/>
      <color rgb="FF9C0006"/>
      <name val="Carlito"/>
    </font>
    <font>
      <b/>
      <sz val="11"/>
      <color rgb="FF375623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4CC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horizontal="center"/>
    </xf>
    <xf numFmtId="0" fontId="3" fillId="4" borderId="0" xfId="0" applyFont="1" applyFill="1"/>
    <xf numFmtId="164" fontId="3" fillId="5" borderId="0" xfId="0" applyNumberFormat="1" applyFont="1" applyFill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5" fillId="7" borderId="0" xfId="0" applyFont="1" applyFill="1" applyAlignment="1">
      <alignment horizontal="center" vertical="top" wrapText="1"/>
    </xf>
    <xf numFmtId="0" fontId="3" fillId="4" borderId="0" xfId="0" applyFont="1" applyFill="1" applyAlignment="1">
      <alignment vertical="top" wrapText="1"/>
    </xf>
    <xf numFmtId="164" fontId="3" fillId="0" borderId="0" xfId="0" applyNumberFormat="1" applyFont="1"/>
    <xf numFmtId="0" fontId="3" fillId="0" borderId="0" xfId="0" applyFont="1"/>
    <xf numFmtId="0" fontId="1" fillId="2" borderId="0" xfId="0" applyFont="1" applyFill="1" applyAlignment="1">
      <alignment vertical="center"/>
    </xf>
    <xf numFmtId="0" fontId="4" fillId="6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0" fillId="0" borderId="0" xfId="0" applyAlignment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iticalPathTable" displayName="CriticalPathTable" ref="A8:H16" totalsRowShown="0">
  <tableColumns count="8">
    <tableColumn id="1" xr3:uid="{00000000-0010-0000-0000-000001000000}" name="#"/>
    <tableColumn id="2" xr3:uid="{00000000-0010-0000-0000-000002000000}" name="Migration Element"/>
    <tableColumn id="3" xr3:uid="{00000000-0010-0000-0000-000003000000}" name="Main Objective"/>
    <tableColumn id="4" xr3:uid="{00000000-0010-0000-0000-000004000000}" name="Duration (Days)"/>
    <tableColumn id="5" xr3:uid="{00000000-0010-0000-0000-000005000000}" name="Start Date"/>
    <tableColumn id="6" xr3:uid="{00000000-0010-0000-0000-000006000000}" name="Finish Date"/>
    <tableColumn id="7" xr3:uid="{00000000-0010-0000-0000-000007000000}" name="Critical Path"/>
    <tableColumn id="8" xr3:uid="{00000000-0010-0000-0000-000008000000}" name="Gate / Outp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C23" sqref="C23"/>
    </sheetView>
  </sheetViews>
  <sheetFormatPr defaultRowHeight="14.25"/>
  <cols>
    <col min="1" max="1" width="18.875" bestFit="1" customWidth="1"/>
    <col min="2" max="2" width="30" customWidth="1"/>
    <col min="3" max="3" width="48" customWidth="1"/>
    <col min="4" max="4" width="15" customWidth="1"/>
    <col min="5" max="6" width="16" customWidth="1"/>
    <col min="7" max="7" width="14" customWidth="1"/>
    <col min="8" max="8" width="24" customWidth="1"/>
  </cols>
  <sheetData>
    <row r="1" spans="1:8" ht="27.95" customHeight="1">
      <c r="A1" s="11" t="s">
        <v>0</v>
      </c>
      <c r="B1" s="14"/>
      <c r="C1" s="14"/>
      <c r="D1" s="14"/>
      <c r="E1" s="14"/>
      <c r="F1" s="14"/>
      <c r="G1" s="14"/>
      <c r="H1" s="14"/>
    </row>
    <row r="3" spans="1:8" ht="15">
      <c r="A3" s="1" t="s">
        <v>1</v>
      </c>
      <c r="B3" s="1" t="s">
        <v>2</v>
      </c>
      <c r="D3" s="12" t="s">
        <v>3</v>
      </c>
      <c r="E3" s="12"/>
      <c r="F3" s="12"/>
      <c r="G3" s="12"/>
      <c r="H3" s="12"/>
    </row>
    <row r="4" spans="1:8" ht="15">
      <c r="A4" s="2" t="s">
        <v>4</v>
      </c>
      <c r="B4" s="3">
        <v>46272</v>
      </c>
      <c r="D4" s="12"/>
      <c r="E4" s="12"/>
      <c r="F4" s="12"/>
      <c r="G4" s="12"/>
      <c r="H4" s="12"/>
    </row>
    <row r="5" spans="1:8" ht="15">
      <c r="A5" s="2" t="s">
        <v>5</v>
      </c>
      <c r="B5">
        <f>SUM(D9:D16)</f>
        <v>37</v>
      </c>
      <c r="D5" s="12"/>
      <c r="E5" s="12"/>
      <c r="F5" s="12"/>
      <c r="G5" s="12"/>
      <c r="H5" s="12"/>
    </row>
    <row r="8" spans="1:8" ht="15">
      <c r="A8" s="4" t="s">
        <v>6</v>
      </c>
      <c r="B8" s="4" t="s">
        <v>7</v>
      </c>
      <c r="C8" s="4" t="s">
        <v>8</v>
      </c>
      <c r="D8" s="4" t="s">
        <v>9</v>
      </c>
      <c r="E8" s="4" t="s">
        <v>4</v>
      </c>
      <c r="F8" s="4" t="s">
        <v>10</v>
      </c>
      <c r="G8" s="4" t="s">
        <v>11</v>
      </c>
      <c r="H8" s="4" t="s">
        <v>12</v>
      </c>
    </row>
    <row r="9" spans="1:8" ht="15">
      <c r="A9" s="5">
        <v>1</v>
      </c>
      <c r="B9" s="5" t="s">
        <v>13</v>
      </c>
      <c r="C9" s="5" t="s">
        <v>14</v>
      </c>
      <c r="D9" s="5">
        <v>5</v>
      </c>
      <c r="E9" s="6">
        <f>$B$4</f>
        <v>46272</v>
      </c>
      <c r="F9" s="6">
        <f t="shared" ref="F9:F16" si="0">E9+D9-1</f>
        <v>46276</v>
      </c>
      <c r="G9" s="7" t="s">
        <v>15</v>
      </c>
      <c r="H9" s="8" t="s">
        <v>16</v>
      </c>
    </row>
    <row r="10" spans="1:8" ht="33.75">
      <c r="A10" s="5">
        <v>2</v>
      </c>
      <c r="B10" s="5" t="s">
        <v>17</v>
      </c>
      <c r="C10" s="5" t="s">
        <v>18</v>
      </c>
      <c r="D10" s="5">
        <v>5</v>
      </c>
      <c r="E10" s="6">
        <f t="shared" ref="E10:E16" si="1">F9+1</f>
        <v>46277</v>
      </c>
      <c r="F10" s="6">
        <f t="shared" si="0"/>
        <v>46281</v>
      </c>
      <c r="G10" s="7" t="s">
        <v>15</v>
      </c>
      <c r="H10" s="8" t="s">
        <v>19</v>
      </c>
    </row>
    <row r="11" spans="1:8" ht="28.5">
      <c r="A11" s="5">
        <v>3</v>
      </c>
      <c r="B11" s="5" t="s">
        <v>20</v>
      </c>
      <c r="C11" s="5" t="s">
        <v>21</v>
      </c>
      <c r="D11" s="5">
        <v>3</v>
      </c>
      <c r="E11" s="6">
        <f t="shared" si="1"/>
        <v>46282</v>
      </c>
      <c r="F11" s="6">
        <f t="shared" si="0"/>
        <v>46284</v>
      </c>
      <c r="G11" s="7" t="s">
        <v>15</v>
      </c>
      <c r="H11" s="8" t="s">
        <v>22</v>
      </c>
    </row>
    <row r="12" spans="1:8" ht="28.5">
      <c r="A12" s="5">
        <v>4</v>
      </c>
      <c r="B12" s="5" t="s">
        <v>23</v>
      </c>
      <c r="C12" s="5" t="s">
        <v>24</v>
      </c>
      <c r="D12" s="5">
        <v>4</v>
      </c>
      <c r="E12" s="6">
        <f t="shared" si="1"/>
        <v>46285</v>
      </c>
      <c r="F12" s="6">
        <f t="shared" si="0"/>
        <v>46288</v>
      </c>
      <c r="G12" s="7" t="s">
        <v>15</v>
      </c>
      <c r="H12" s="8" t="s">
        <v>25</v>
      </c>
    </row>
    <row r="13" spans="1:8" ht="28.5">
      <c r="A13" s="5">
        <v>5</v>
      </c>
      <c r="B13" s="5" t="s">
        <v>26</v>
      </c>
      <c r="C13" s="5" t="s">
        <v>27</v>
      </c>
      <c r="D13" s="5">
        <v>7</v>
      </c>
      <c r="E13" s="6">
        <f t="shared" si="1"/>
        <v>46289</v>
      </c>
      <c r="F13" s="6">
        <f t="shared" si="0"/>
        <v>46295</v>
      </c>
      <c r="G13" s="7" t="s">
        <v>15</v>
      </c>
      <c r="H13" s="8" t="s">
        <v>28</v>
      </c>
    </row>
    <row r="14" spans="1:8" ht="28.5">
      <c r="A14" s="5">
        <v>6</v>
      </c>
      <c r="B14" s="5" t="s">
        <v>29</v>
      </c>
      <c r="C14" s="5" t="s">
        <v>30</v>
      </c>
      <c r="D14" s="5">
        <v>5</v>
      </c>
      <c r="E14" s="6">
        <f t="shared" si="1"/>
        <v>46296</v>
      </c>
      <c r="F14" s="6">
        <f t="shared" si="0"/>
        <v>46300</v>
      </c>
      <c r="G14" s="7" t="s">
        <v>15</v>
      </c>
      <c r="H14" s="8" t="s">
        <v>31</v>
      </c>
    </row>
    <row r="15" spans="1:8" ht="28.5">
      <c r="A15" s="5">
        <v>7</v>
      </c>
      <c r="B15" s="5" t="s">
        <v>32</v>
      </c>
      <c r="C15" s="5" t="s">
        <v>33</v>
      </c>
      <c r="D15" s="5">
        <v>5</v>
      </c>
      <c r="E15" s="6">
        <f t="shared" si="1"/>
        <v>46301</v>
      </c>
      <c r="F15" s="6">
        <f t="shared" si="0"/>
        <v>46305</v>
      </c>
      <c r="G15" s="7" t="s">
        <v>15</v>
      </c>
      <c r="H15" s="8" t="s">
        <v>34</v>
      </c>
    </row>
    <row r="16" spans="1:8" ht="28.5">
      <c r="A16" s="5">
        <v>8</v>
      </c>
      <c r="B16" s="5" t="s">
        <v>35</v>
      </c>
      <c r="C16" s="5" t="s">
        <v>36</v>
      </c>
      <c r="D16" s="5">
        <v>3</v>
      </c>
      <c r="E16" s="6">
        <f t="shared" si="1"/>
        <v>46306</v>
      </c>
      <c r="F16" s="6">
        <f t="shared" si="0"/>
        <v>46308</v>
      </c>
      <c r="G16" s="7" t="s">
        <v>15</v>
      </c>
      <c r="H16" s="8" t="s">
        <v>37</v>
      </c>
    </row>
    <row r="19" spans="1:8" ht="15">
      <c r="A19" s="15" t="s">
        <v>38</v>
      </c>
      <c r="B19" s="14"/>
      <c r="D19" s="13" t="str">
        <f>IF(F16=DATE(2026,10,31),"Baseline reaches the requested 31-Oct-2026 completion date.","Completion date changes automatically with the Start Date. Current finish: "&amp;TEXT(F16,"dd-mmm-yyyy"))</f>
        <v>Completion date changes automatically with the Start Date. Current finish: 13-Oct-2026</v>
      </c>
      <c r="E19" s="13"/>
      <c r="F19" s="13"/>
      <c r="G19" s="13"/>
      <c r="H19" s="13"/>
    </row>
    <row r="20" spans="1:8" ht="15">
      <c r="A20" s="2" t="s">
        <v>4</v>
      </c>
      <c r="B20" s="9">
        <f>$B$4</f>
        <v>46272</v>
      </c>
      <c r="D20" s="13"/>
      <c r="E20" s="13"/>
      <c r="F20" s="13"/>
      <c r="G20" s="13"/>
      <c r="H20" s="13"/>
    </row>
    <row r="21" spans="1:8" ht="15">
      <c r="A21" s="2" t="s">
        <v>39</v>
      </c>
      <c r="B21" s="9">
        <f>F16</f>
        <v>46308</v>
      </c>
      <c r="D21" s="13"/>
      <c r="E21" s="13"/>
      <c r="F21" s="13"/>
      <c r="G21" s="13"/>
      <c r="H21" s="13"/>
    </row>
    <row r="22" spans="1:8" ht="15">
      <c r="A22" s="2" t="s">
        <v>40</v>
      </c>
      <c r="B22" s="10">
        <f>SUM(D9:D16)</f>
        <v>37</v>
      </c>
      <c r="D22" s="13"/>
      <c r="E22" s="13"/>
      <c r="F22" s="13"/>
      <c r="G22" s="13"/>
      <c r="H22" s="13"/>
    </row>
  </sheetData>
  <mergeCells count="4">
    <mergeCell ref="A1:H1"/>
    <mergeCell ref="D3:H5"/>
    <mergeCell ref="A19:B19"/>
    <mergeCell ref="D19:H2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2B49DDE58C44BA0A4844886FD6AD8" ma:contentTypeVersion="5" ma:contentTypeDescription="Create a new document." ma:contentTypeScope="" ma:versionID="ba6709497d9746726a31d73fe7c57e1e">
  <xsd:schema xmlns:xsd="http://www.w3.org/2001/XMLSchema" xmlns:xs="http://www.w3.org/2001/XMLSchema" xmlns:p="http://schemas.microsoft.com/office/2006/metadata/properties" xmlns:ns1="http://schemas.microsoft.com/sharepoint/v3" xmlns:ns2="b4cfb782-1074-49b9-b0d7-503320a0b712" targetNamespace="http://schemas.microsoft.com/office/2006/metadata/properties" ma:root="true" ma:fieldsID="09dc4f5dfe08d06184168e433efe6c49" ns1:_="" ns2:_="">
    <xsd:import namespace="http://schemas.microsoft.com/sharepoint/v3"/>
    <xsd:import namespace="b4cfb782-1074-49b9-b0d7-503320a0b7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fb782-1074-49b9-b0d7-503320a0b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060A7D-D530-4EBD-867C-079CF88E8E05}"/>
</file>

<file path=customXml/itemProps2.xml><?xml version="1.0" encoding="utf-8"?>
<ds:datastoreItem xmlns:ds="http://schemas.openxmlformats.org/officeDocument/2006/customXml" ds:itemID="{BD68DCFD-44FE-4DAB-81D7-938945E93733}"/>
</file>

<file path=customXml/itemProps3.xml><?xml version="1.0" encoding="utf-8"?>
<ds:datastoreItem xmlns:ds="http://schemas.openxmlformats.org/officeDocument/2006/customXml" ds:itemID="{A27C74EA-801F-43D2-AB92-E9363F34B967}"/>
</file>

<file path=docMetadata/LabelInfo.xml><?xml version="1.0" encoding="utf-8"?>
<clbl:labelList xmlns:clbl="http://schemas.microsoft.com/office/2020/mipLabelMetadata">
  <clbl:label id="{02513295-34d7-4ce7-95f0-d6d90e122a36}" enabled="1" method="Standard" siteId="{2e0cb644-c094-41d7-ab3d-43201da2443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Alberto Ferrari</cp:lastModifiedBy>
  <cp:revision/>
  <dcterms:created xsi:type="dcterms:W3CDTF">2026-09-08T14:26:28Z</dcterms:created>
  <dcterms:modified xsi:type="dcterms:W3CDTF">2026-09-08T19:32:32Z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0x010100EA62B49DDE58C44BA0A4844886FD6AD8</vt:lpwstr>
  </property>
</Properties>
</file>