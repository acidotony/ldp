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namedSheetViews/namedSheetView1.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myfyi.sharepoint.com/sites/EPMO-P00030904-DevOpsToolingConsolidation/Shared Documents/General/Docs - Proj.Mgt/04. Execution/00 - RAID Mgmt/"/>
    </mc:Choice>
  </mc:AlternateContent>
  <xr:revisionPtr revIDLastSave="0" documentId="8_{0EB12744-2667-4E3C-A5B3-D7F7E57E75B2}" xr6:coauthVersionLast="47" xr6:coauthVersionMax="47" xr10:uidLastSave="{00000000-0000-0000-0000-000000000000}"/>
  <bookViews>
    <workbookView xWindow="-108" yWindow="-108" windowWidth="23256" windowHeight="13896" tabRatio="500" firstSheet="2" activeTab="4" xr2:uid="{00000000-000D-0000-FFFF-FFFF00000000}"/>
  </bookViews>
  <sheets>
    <sheet name="Dashboard" sheetId="2" r:id="rId1"/>
    <sheet name="Risks" sheetId="3" r:id="rId2"/>
    <sheet name="Assumptions" sheetId="4" r:id="rId3"/>
    <sheet name="Issues" sheetId="5" r:id="rId4"/>
    <sheet name="Dependencies" sheetId="6" r:id="rId5"/>
    <sheet name="Lists" sheetId="7" r:id="rId6"/>
    <sheet name="README" sheetId="1" state="hidden" r:id="rId7"/>
  </sheets>
  <definedNames>
    <definedName name="_xlnm._FilterDatabase" localSheetId="2" hidden="1">Assumptions!$A$3:$K$60</definedName>
    <definedName name="_xlnm._FilterDatabase" localSheetId="4" hidden="1">Dependencies!$A$3:$K$54</definedName>
    <definedName name="_xlnm._FilterDatabase" localSheetId="3" hidden="1">Issues!$A$3:$M$60</definedName>
    <definedName name="_xlnm._FilterDatabase" localSheetId="1" hidden="1">Risks!$C$28:$C$28</definedName>
    <definedName name="CategoryList">Lists!$E$2:$E$15</definedName>
    <definedName name="DepTypeList">Lists!$F$2:$F$3</definedName>
    <definedName name="ImpactList">Lists!$D$2:$D$6</definedName>
    <definedName name="ImpactScore">Lists!$K$2:$L$6</definedName>
    <definedName name="LikelihoodList">Lists!$C$2:$C$6</definedName>
    <definedName name="LikelihoodScore">Lists!$I$2:$J$6</definedName>
    <definedName name="PriorityList">Lists!$B$2:$B$5</definedName>
    <definedName name="StatusList">Lists!$A$2:$A$6</definedName>
    <definedName name="Track">Lists!$N$1:$N$10</definedName>
    <definedName name="YesNoList">Lists!$G$2:$G$3</definedName>
    <definedName name="Z_4FF6BE25_937E_494D_AC54_A20606835592_.wvu.Cols" localSheetId="1" hidden="1">Risks!$H:$H</definedName>
    <definedName name="Z_4FF6BE25_937E_494D_AC54_A20606835592_.wvu.FilterData" localSheetId="2" hidden="1">Assumptions!$A$3:$K$60</definedName>
    <definedName name="Z_4FF6BE25_937E_494D_AC54_A20606835592_.wvu.FilterData" localSheetId="4" hidden="1">Dependencies!$A$3:$K$54</definedName>
    <definedName name="Z_4FF6BE25_937E_494D_AC54_A20606835592_.wvu.FilterData" localSheetId="3" hidden="1">Issues!$A$3:$M$60</definedName>
    <definedName name="Z_4FF6BE25_937E_494D_AC54_A20606835592_.wvu.FilterData" localSheetId="1" hidden="1">Risks!$A$4:$P$14</definedName>
  </definedNames>
  <calcPr calcId="191028"/>
  <customWorkbookViews>
    <customWorkbookView name="JIRA Risks" guid="{4FF6BE25-937E-494D-AC54-A20606835592}" maximized="1" xWindow="-9" yWindow="-9" windowWidth="1938" windowHeight="1218" tabRatio="500"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31" i="3" l="1" a="1"/>
  <c r="I31" i="3" s="1"/>
  <c r="H31" i="3"/>
  <c r="I30" i="3" a="1"/>
  <c r="I30" i="3" s="1"/>
  <c r="H30" i="3"/>
  <c r="I29" i="3" a="1"/>
  <c r="I29" i="3" s="1"/>
  <c r="H29" i="3"/>
  <c r="I28" i="3" a="1"/>
  <c r="I28" i="3" s="1"/>
  <c r="H28" i="3"/>
  <c r="I27" i="3" a="1"/>
  <c r="I27" i="3" s="1"/>
  <c r="H27" i="3"/>
  <c r="I26" i="3" a="1"/>
  <c r="I26" i="3"/>
  <c r="I25" i="3" a="1"/>
  <c r="I25" i="3"/>
  <c r="I23" i="3" a="1"/>
  <c r="I23" i="3"/>
  <c r="I5" i="3" a="1"/>
  <c r="I5" i="3" s="1"/>
  <c r="I6" i="3" a="1"/>
  <c r="I6" i="3" s="1"/>
  <c r="I22" i="3" a="1"/>
  <c r="I22" i="3" s="1"/>
  <c r="I4" i="3" a="1"/>
  <c r="I4" i="3" s="1"/>
  <c r="I24" i="3" a="1"/>
  <c r="I24" i="3" s="1"/>
  <c r="H24" i="3"/>
  <c r="I21" i="3" a="1"/>
  <c r="I21" i="3" s="1"/>
  <c r="H21" i="3"/>
  <c r="I18" i="3" a="1"/>
  <c r="I18" i="3" s="1"/>
  <c r="I19" i="3" a="1"/>
  <c r="I19" i="3" s="1"/>
  <c r="I20" i="3" a="1"/>
  <c r="I20" i="3" s="1"/>
  <c r="I17" i="3" a="1"/>
  <c r="I17" i="3" s="1"/>
  <c r="I16" i="3" a="1"/>
  <c r="I16" i="3" s="1"/>
  <c r="I7" i="3" a="1"/>
  <c r="I7" i="3" s="1"/>
  <c r="I8" i="3" a="1"/>
  <c r="I8" i="3" s="1"/>
  <c r="I9" i="3" a="1"/>
  <c r="I9" i="3" s="1"/>
  <c r="I10" i="3" a="1"/>
  <c r="I10" i="3" s="1"/>
  <c r="I11" i="3" a="1"/>
  <c r="I11" i="3" s="1"/>
  <c r="I12" i="3" a="1"/>
  <c r="I12" i="3" s="1"/>
  <c r="I13" i="3" a="1"/>
  <c r="I13" i="3" s="1"/>
  <c r="I14" i="3" a="1"/>
  <c r="I14" i="3" s="1"/>
  <c r="I15" i="3" a="1"/>
  <c r="I15" i="3" s="1"/>
  <c r="F7" i="2"/>
  <c r="E7" i="2"/>
  <c r="D7" i="2"/>
  <c r="C7" i="2"/>
  <c r="B7" i="2"/>
  <c r="F6" i="2"/>
  <c r="E6" i="2"/>
  <c r="D6" i="2"/>
  <c r="C6" i="2"/>
  <c r="B6" i="2"/>
  <c r="F5" i="2"/>
  <c r="E5" i="2"/>
  <c r="D5" i="2"/>
  <c r="C5" i="2"/>
  <c r="B5" i="2"/>
  <c r="F4" i="2" l="1"/>
  <c r="B4" i="2"/>
  <c r="B8" i="2" s="1"/>
  <c r="E4" i="2"/>
  <c r="E8" i="2" s="1"/>
  <c r="D4" i="2"/>
  <c r="C4" i="2"/>
  <c r="C8" i="2" s="1"/>
  <c r="G5" i="2"/>
  <c r="G7" i="2"/>
  <c r="F8" i="2"/>
  <c r="G6" i="2"/>
  <c r="B16" i="2"/>
  <c r="B15" i="2"/>
  <c r="B14" i="2"/>
  <c r="B13" i="2"/>
  <c r="G4" i="2" l="1"/>
  <c r="G8" i="2" s="1"/>
  <c r="D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tc={D41474BA-5597-49AC-A4C4-CB92AC62F34C}</author>
  </authors>
  <commentList>
    <comment ref="C8" authorId="0" shapeId="0" xr:uid="{D41474BA-5597-49AC-A4C4-CB92AC62F34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@Antonio Machado ?
Reply:
    @Antonio Machado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<sst xmlns="http://schemas.openxmlformats.org/spreadsheetml/2006/main" count="533" uniqueCount="288">
  <si>
    <t>RAID Log — Dashboard</t>
  </si>
  <si>
    <t>Summary by Status</t>
  </si>
  <si>
    <t>Category</t>
  </si>
  <si>
    <t>Open</t>
  </si>
  <si>
    <t>In Progress</t>
  </si>
  <si>
    <t>Mitigated</t>
  </si>
  <si>
    <t>Closed</t>
  </si>
  <si>
    <t>Escalated</t>
  </si>
  <si>
    <t>Total</t>
  </si>
  <si>
    <t>Risks</t>
  </si>
  <si>
    <t>Assumptions</t>
  </si>
  <si>
    <t>Issues</t>
  </si>
  <si>
    <t>Dependencies</t>
  </si>
  <si>
    <t>Open Risk Priority Breakdown</t>
  </si>
  <si>
    <t>Priority</t>
  </si>
  <si>
    <t>Count (Open / In Progress)</t>
  </si>
  <si>
    <t>Critical</t>
  </si>
  <si>
    <t>High</t>
  </si>
  <si>
    <t>Medium</t>
  </si>
  <si>
    <t>Low</t>
  </si>
  <si>
    <t>RAID Log — Risks</t>
  </si>
  <si>
    <t>Potential future events that could negatively affect the project. Score = Likelihood x Impact.</t>
  </si>
  <si>
    <t>Risk ID</t>
  </si>
  <si>
    <t>Track</t>
  </si>
  <si>
    <t>Risk Description</t>
  </si>
  <si>
    <t>Status</t>
  </si>
  <si>
    <t>Likelihood</t>
  </si>
  <si>
    <t>Impact</t>
  </si>
  <si>
    <t>Risk Score</t>
  </si>
  <si>
    <t>Owner</t>
  </si>
  <si>
    <t>Mitigation / Response Plan</t>
  </si>
  <si>
    <t>Mitigation</t>
  </si>
  <si>
    <t>Date Identified</t>
  </si>
  <si>
    <t>Target Review Date</t>
  </si>
  <si>
    <t>Date Closed</t>
  </si>
  <si>
    <t>Notes</t>
  </si>
  <si>
    <t>R-020</t>
  </si>
  <si>
    <t>Atlassian</t>
  </si>
  <si>
    <t>Quality</t>
  </si>
  <si>
    <t>Rework at Cutover and loss of Migration Quality due to HCSC Dev Environment not updated on time for tests</t>
  </si>
  <si>
    <t>Jeremy</t>
  </si>
  <si>
    <t>* Data &amp; Configuration not the same
* Inconsistencies in DB, structures, configuration
ELEKS proposed to install a self-hosted runner</t>
  </si>
  <si>
    <t>R-001</t>
  </si>
  <si>
    <t>GitHub</t>
  </si>
  <si>
    <t>Technical</t>
  </si>
  <si>
    <t>Target HCSC enterprise/organization is not fully prepared before migration starts.</t>
  </si>
  <si>
    <t>Complete Enterprise Readiness before repository migration</t>
  </si>
  <si>
    <t>Antonio</t>
  </si>
  <si>
    <t>Prepare target organization, policies, teams, permissions, enterprise settings and validate readiness before migration execution. Discovery phase activities are incorporated into migration preparation.</t>
  </si>
  <si>
    <t>DEVOPS-14646, DEVOPS-14690, DEVOPS-14831</t>
  </si>
  <si>
    <t>R-002</t>
  </si>
  <si>
    <t>Repository dependencies are migrated out of sequence causing broken integrations.</t>
  </si>
  <si>
    <t>Complete dependency analysis and migrate related repositories together</t>
  </si>
  <si>
    <t>Partition repositories into logical migration bins, identify product dependencies, coordinate cross-tool integrations and validate after migration.</t>
  </si>
  <si>
    <t>DEVOPS-14691, DEVOPS-14661, DEVOPS-14701</t>
  </si>
  <si>
    <t>R-003</t>
  </si>
  <si>
    <t>Migration workflow or automation contains defects that interrupt production migration.</t>
  </si>
  <si>
    <t>Export memberships, validate SCIM provisioning, automate assignments where possible</t>
  </si>
  <si>
    <t>Migration Preparation Tests validated and refined migration scripts before production. Lessons learned incorporated into final workflow.</t>
  </si>
  <si>
    <t>DEVOPS-14773, DEVOPS-14780</t>
  </si>
  <si>
    <t>R-004</t>
  </si>
  <si>
    <t>Operational</t>
  </si>
  <si>
    <t>GHAS configuration generates excessive alerts or inconsistent security posture.</t>
  </si>
  <si>
    <t>Inventory and automate recreation using GitHub CLI or Terraform</t>
  </si>
  <si>
    <t>Enable GHAS after repository migration, migrate security controls, validate security scanning before sign-off.</t>
  </si>
  <si>
    <t>DEVOPS-14693, DEVOPS-14833, DEVOPS-14696</t>
  </si>
  <si>
    <t>R-005</t>
  </si>
  <si>
    <t>Security</t>
  </si>
  <si>
    <t>OAuth policies or IP allowlists block integrations after migration.</t>
  </si>
  <si>
    <t>Validate webhook endpoints and authentication during pilot</t>
  </si>
  <si>
    <t>IP allowlists are migrated automatically. OAuth policies require manual recreation because GitHub provides no supported API. Validate after cutover.</t>
  </si>
  <si>
    <t>DEVOPS-14845, DEVOPS-14846, DEVOPS-14696</t>
  </si>
  <si>
    <t>R-006</t>
  </si>
  <si>
    <t>Audit logging does not satisfy compliance requirements after migration.</t>
  </si>
  <si>
    <t>Install and validate Apps before migration waves</t>
  </si>
  <si>
    <t>Export historical audit logs for archival. Validate new audit logging after migration. Historical audit events cannot be imported into GitHub.</t>
  </si>
  <si>
    <t>DEVOPS-14847, DEVOPS-14697</t>
  </si>
  <si>
    <t>R-007</t>
  </si>
  <si>
    <t>Legal/Compliance</t>
  </si>
  <si>
    <t>Team memberships or repository permissions are incomplete after migration.</t>
  </si>
  <si>
    <t>Enable in phases and allocate Hypercare for alert triage</t>
  </si>
  <si>
    <t>Repository permissions validated during testing. Team memberships coordinated through organizational provisioning process because they are outside migration automation.</t>
  </si>
  <si>
    <t>DEVOPS-14695, DEVOPS-14698</t>
  </si>
  <si>
    <t>R-008</t>
  </si>
  <si>
    <t>Repository environments, Actions variables or repository settings are missing.</t>
  </si>
  <si>
    <t>Validate organization security policies before production cutover</t>
  </si>
  <si>
    <t>Repository-level configuration migration plus automated validation of environments, variables, secrets and repository assets.</t>
  </si>
  <si>
    <t>DEVOPS-14830, DEVOPS-14839, DEVOPS-14695</t>
  </si>
  <si>
    <t>R-009</t>
  </si>
  <si>
    <t>Repository webhooks or GitHub Apps fail after migration.</t>
  </si>
  <si>
    <t>Configure audit logging and SIEM integration before migration</t>
  </si>
  <si>
    <t>Repository webhooks migrate automatically. GitHub Apps are inventoried and manually reinstalled where GitHub APIs do not support automation. Validate integrations after migration.</t>
  </si>
  <si>
    <t>DEVOPS-14830, DEVOPS-14843, DEVOPS-14695</t>
  </si>
  <si>
    <t>R-010</t>
  </si>
  <si>
    <t>Branch protection rules are recreated incorrectly.</t>
  </si>
  <si>
    <t>Export and recreate using GitHub API/Terraform; validate during pilot</t>
  </si>
  <si>
    <t>Recreate branch protection rules and validate repository governance before production sign-off.</t>
  </si>
  <si>
    <t>DEVOPS-14840, DEVOPS-14695</t>
  </si>
  <si>
    <t>R-011</t>
  </si>
  <si>
    <t>Deploy Keys cannot be migrated because private keys are not exportable.</t>
  </si>
  <si>
    <t>Identify early, pilot representative repositories, plan dedicated migration windows</t>
  </si>
  <si>
    <t>Regenerate Deploy Keys on destination repositories and validate dependent services.</t>
  </si>
  <si>
    <t>DEVOPS-14839</t>
  </si>
  <si>
    <t>R-012</t>
  </si>
  <si>
    <t>GitHub Pages or Autolink references fail after migration.</t>
  </si>
  <si>
    <t>Recreate GitHub Pages configuration and autolink references where applicable. Validate functionality during testing.</t>
  </si>
  <si>
    <t>DEVOPS-14841, DEVOPS-14842</t>
  </si>
  <si>
    <t>R-013</t>
  </si>
  <si>
    <t>Large repositories or Git LFS exceed migration limitations.</t>
  </si>
  <si>
    <t>Migration Preparation Tests validated tooling against representative repositories. Logical migration bins reduce execution risk and migration progress is monitored.</t>
  </si>
  <si>
    <t>DEVOPS-14773, DEVOPS-14691</t>
  </si>
  <si>
    <t>R-014</t>
  </si>
  <si>
    <t>GitHub Actions OIDC trust relationships fail after migration because repository IDs change.</t>
  </si>
  <si>
    <t>Marcelo</t>
  </si>
  <si>
    <t>Identify repositories using OIDC, update trust relationships and validate authentication during post-migration testing.</t>
  </si>
  <si>
    <t>(OIDC task pending / future implementation)</t>
  </si>
  <si>
    <t>R-015</t>
  </si>
  <si>
    <t>A migrated repository experiences functional issues after production cutover.</t>
  </si>
  <si>
    <t>Execute hypercare and repository validation. If a repository fails after migration, remove the archive flag from the source repository to restore developer access while fixes continue on the migrated repository.</t>
  </si>
  <si>
    <t>DEVOPS-14704, DEVOPS-14848</t>
  </si>
  <si>
    <t>R-016</t>
  </si>
  <si>
    <t>Production migration cannot be completed successfully within the maintenance window.</t>
  </si>
  <si>
    <t>Migration Preparation Tests eliminated pilot uncertainty, migration is executed as a single organization migration, and logical repository bins plus rollback reduce operational risk.</t>
  </si>
  <si>
    <t>DEVOPS-14773, DEVOPS-14780, DEVOPS-14691, DEVOPS-14702</t>
  </si>
  <si>
    <t>R-017</t>
  </si>
  <si>
    <t>Rollback cannot be executed if critical issues are detected after migration.</t>
  </si>
  <si>
    <t>Source repositories remain archived rather than deleted. Rollback consists of removing the archive state to immediately restore developer access while issues are resolved in the destination organization.</t>
  </si>
  <si>
    <t>DEVOPS-14848</t>
  </si>
  <si>
    <t>R-018</t>
  </si>
  <si>
    <t>Cutover activities leave developers working against different organizations.</t>
  </si>
  <si>
    <t>Freeze changes during cutover, repoint integrations, execute hypercare and communicate rollback procedures.</t>
  </si>
  <si>
    <t>DEVOPS-14702, DEVOPS-14703, DEVOPS-14704</t>
  </si>
  <si>
    <t>R-019</t>
  </si>
  <si>
    <t>Losing secrets during migration</t>
  </si>
  <si>
    <t>Andres</t>
  </si>
  <si>
    <t>CyberArg automated migration and post-migration exception remediation</t>
  </si>
  <si>
    <t>DEVOPS-14830</t>
  </si>
  <si>
    <t>Applications and Github workflows may reference AD/Entra application IDs, service principals, group/object IDs or role assigments from the HS environment. Equivalent identities in the HCSC environment may have different identifiers or permissions, causing authorization failures after migration.</t>
  </si>
  <si>
    <t>Mark Malott</t>
  </si>
  <si>
    <t>Plan will be discussed with HCSC IAM teams</t>
  </si>
  <si>
    <t>DEVOPS-14934</t>
  </si>
  <si>
    <t>R-021</t>
  </si>
  <si>
    <t>NeoLoad</t>
  </si>
  <si>
    <t>Schedule</t>
  </si>
  <si>
    <t>Networking/security not provided on time</t>
  </si>
  <si>
    <t>Mark</t>
  </si>
  <si>
    <t>R-022</t>
  </si>
  <si>
    <t>HS Neoload platform not repurposed on time</t>
  </si>
  <si>
    <t>R-026</t>
  </si>
  <si>
    <t>Invicti</t>
  </si>
  <si>
    <t>Connectivity/authentication issues blocking scans of HS targets</t>
  </si>
  <si>
    <t>Fabio</t>
  </si>
  <si>
    <t>Firewall and auth patterns must be verified</t>
  </si>
  <si>
    <t>R-027</t>
  </si>
  <si>
    <t>Scan profile inconsistencies between HS and HCSC scans</t>
  </si>
  <si>
    <t>Standard scan profiles to be defined</t>
  </si>
  <si>
    <t>R-028</t>
  </si>
  <si>
    <t>Remediation ownership ambiguity for HS findings</t>
  </si>
  <si>
    <t>RACI required per app</t>
  </si>
  <si>
    <t>R-029</t>
  </si>
  <si>
    <t>Insufficient HCSC Invicti capacity for HS load</t>
  </si>
  <si>
    <t>Capacity assessment pending</t>
  </si>
  <si>
    <t>R-030</t>
  </si>
  <si>
    <t>Existing HCSC Invicti capacity is sufficient for HS targets</t>
  </si>
  <si>
    <t>To validate in Discovery</t>
  </si>
  <si>
    <t>RAID Log — Assumptions</t>
  </si>
  <si>
    <t>Things believed to be true for planning purposes but not yet confirmed.</t>
  </si>
  <si>
    <t>Assumption ID</t>
  </si>
  <si>
    <t>Assumption Description</t>
  </si>
  <si>
    <t>Impact if Invalid</t>
  </si>
  <si>
    <t>Validation Plan</t>
  </si>
  <si>
    <t>Target Validation Date</t>
  </si>
  <si>
    <t>Date Validated</t>
  </si>
  <si>
    <t>A-01</t>
  </si>
  <si>
    <t>Scope</t>
  </si>
  <si>
    <t>Automated Technique to extract and inject from/to HS/HCSC NeoLoad works</t>
  </si>
  <si>
    <t>Potential extension on Project timeline</t>
  </si>
  <si>
    <t xml:space="preserve">Bulid prototype extracting/injecting API calls to HS/HCSC qTest. No transport between HS/HCSC included </t>
  </si>
  <si>
    <t>RAID Log — Issues</t>
  </si>
  <si>
    <t>Problems that have already occurred and need active resolution.</t>
  </si>
  <si>
    <t>Issue ID</t>
  </si>
  <si>
    <t>Issue Description</t>
  </si>
  <si>
    <t>Resolution Plan</t>
  </si>
  <si>
    <t>Date Raised</t>
  </si>
  <si>
    <t>Target Resolution Date</t>
  </si>
  <si>
    <t>Date Resolved</t>
  </si>
  <si>
    <t>I-001</t>
  </si>
  <si>
    <t xml:space="preserve">Full migration process breaks due to excessive duration for current setup.
GitHub default runners timeout </t>
  </si>
  <si>
    <t>Migration cannot complete</t>
  </si>
  <si>
    <t>Katie</t>
  </si>
  <si>
    <t>Install a self-hosted runner</t>
  </si>
  <si>
    <t>ASAP</t>
  </si>
  <si>
    <t>Overall, the full migration succeeded.  The scripts are correct and proved worked fine (validated against run logs).  The issue is with the cloud runner that executed it. Strategy is to execute the scripts using the current cloud runner, will validate the results and eventually ignore the timeout.  This makes the self-hosted runner not necessary now.</t>
  </si>
  <si>
    <t>I-002</t>
  </si>
  <si>
    <t>JIRA</t>
  </si>
  <si>
    <t>Miguel</t>
  </si>
  <si>
    <t>Troubleshooting with CJU Configuration Manager tool vendor</t>
  </si>
  <si>
    <t>RAID Log — Dependencies</t>
  </si>
  <si>
    <t>External or cross-team deliverables this project relies on.</t>
  </si>
  <si>
    <t xml:space="preserve"> ID</t>
  </si>
  <si>
    <t>Dependency</t>
  </si>
  <si>
    <t>Depends On</t>
  </si>
  <si>
    <t>Needed By</t>
  </si>
  <si>
    <t>Impact if Delayed</t>
  </si>
  <si>
    <t>D-002</t>
  </si>
  <si>
    <t>All</t>
  </si>
  <si>
    <t>Network connectivity between HS and HCSC</t>
  </si>
  <si>
    <t>HCSC Networking</t>
  </si>
  <si>
    <t>Mark Mallot</t>
  </si>
  <si>
    <t>Early August</t>
  </si>
  <si>
    <t>Cannot perform test migrations</t>
  </si>
  <si>
    <t>D-003</t>
  </si>
  <si>
    <t>Active Directory Consolidation</t>
  </si>
  <si>
    <t>HCSC AD team</t>
  </si>
  <si>
    <t>Mid September</t>
  </si>
  <si>
    <t>Cannot go to production</t>
  </si>
  <si>
    <t>D-005</t>
  </si>
  <si>
    <t>Production &amp; Plugin licenses for HS</t>
  </si>
  <si>
    <t>HCSC Procurement</t>
  </si>
  <si>
    <t>Jeremy Upright</t>
  </si>
  <si>
    <t>Early September</t>
  </si>
  <si>
    <t>D-007</t>
  </si>
  <si>
    <t>Confluence</t>
  </si>
  <si>
    <t>Confiforms: approach for migration</t>
  </si>
  <si>
    <t>HS Biz Lead</t>
  </si>
  <si>
    <t>Doug Richard</t>
  </si>
  <si>
    <t xml:space="preserve">Templates not available after migration </t>
  </si>
  <si>
    <t>D-004</t>
  </si>
  <si>
    <t>PAT Assignment for Andres Garcia</t>
  </si>
  <si>
    <t>HCSC GitHub</t>
  </si>
  <si>
    <t>Katie Pryzi</t>
  </si>
  <si>
    <t>Cannot run migration workflow on test repositories</t>
  </si>
  <si>
    <t>D-010</t>
  </si>
  <si>
    <t>HCSC to resolve capacity constraints</t>
  </si>
  <si>
    <t>D-011</t>
  </si>
  <si>
    <t xml:space="preserve">Create, configure, and validate GitHub Actions self-hosted runners in the HCSC destination organization. </t>
  </si>
  <si>
    <t xml:space="preserve">HCSC GitHub Platform / Cloud Infrastructure / Network &amp; Security </t>
  </si>
  <si>
    <t xml:space="preserve">HCSC GitHub Platform Team (TBD) </t>
  </si>
  <si>
    <t>Before execution of the organization-to-organization migration estimated for September 4th</t>
  </si>
  <si>
    <t xml:space="preserve">Migration workflows, validation activities, and post-migration CI/CD pipelines cannot execute in the destination organization, delaying repository cutover and production readiness. </t>
  </si>
  <si>
    <t xml:space="preserve">- Provision the runner infrastructure. 
- Create runner groups and labels. 
- Define repository assignment strategy after repository migration. 
- Install required tooling and validate network connectivity. 
- J10Define operational ownership, monitoring, and support responsibilities. 
</t>
  </si>
  <si>
    <t>D-012</t>
  </si>
  <si>
    <t>Complete the IAM baseline for the destination GitHub Enterprise environment</t>
  </si>
  <si>
    <t xml:space="preserve">HCSC IAM </t>
  </si>
  <si>
    <t>Mark Marlott</t>
  </si>
  <si>
    <t xml:space="preserve">Migration workflows may not have the required permissions to migrate repositories, configure runners, restore secrets, apply security settings, or validate migrated repositories. Administrative and user access to the destination environment may also be blocked. </t>
  </si>
  <si>
    <t>- HS users accessing HCSC GitHub with their existing accounts
- HCSC custom authorization approach
- Access requirements, ownership, and validation</t>
  </si>
  <si>
    <t>Network team for firewall paths and segmentation</t>
  </si>
  <si>
    <t>DependencyType</t>
  </si>
  <si>
    <t>YesNo</t>
  </si>
  <si>
    <t>LikelihoodScore</t>
  </si>
  <si>
    <t>Score</t>
  </si>
  <si>
    <t>ImpactScore</t>
  </si>
  <si>
    <t>Rare</t>
  </si>
  <si>
    <t>Negligible</t>
  </si>
  <si>
    <t>Budget</t>
  </si>
  <si>
    <t>Internal</t>
  </si>
  <si>
    <t>Yes</t>
  </si>
  <si>
    <t>Unlikely</t>
  </si>
  <si>
    <t>Minor</t>
  </si>
  <si>
    <t>External</t>
  </si>
  <si>
    <t>No</t>
  </si>
  <si>
    <t>Possible</t>
  </si>
  <si>
    <t>Moderate</t>
  </si>
  <si>
    <t>Likely</t>
  </si>
  <si>
    <t>Major</t>
  </si>
  <si>
    <t>Almost Certain</t>
  </si>
  <si>
    <t>Severe</t>
  </si>
  <si>
    <t>Resource</t>
  </si>
  <si>
    <t>qTest</t>
  </si>
  <si>
    <t>BrowserTest</t>
  </si>
  <si>
    <t>Stakeholder</t>
  </si>
  <si>
    <t>RAID Log Template</t>
  </si>
  <si>
    <t>Risks, Assumptions, Issues &amp; Dependencies — Project Management Tracker</t>
  </si>
  <si>
    <t>What is a RAID log?</t>
  </si>
  <si>
    <t>A RAID log is a single place to track the four things most likely to derail a project: Risks (might happen), Assumptions (believed true, unconfirmed), Issues (already happened), and Dependencies (relies on something outside the team's control).</t>
  </si>
  <si>
    <t>How to use this workbook</t>
  </si>
  <si>
    <t>1. Dashboard — live counts and charts pulled automatically from the four tabs. No manual entry.</t>
  </si>
  <si>
    <t>2. Risks — log potential problems. Pick Likelihood and Impact from dropdowns; Risk Score and Priority calculate automatically.</t>
  </si>
  <si>
    <t>3. Assumptions — log what you're taking on faith. Track how and when each will be validated.</t>
  </si>
  <si>
    <t>4. Issues — log problems that have already occurred, with a resolution plan and owner.</t>
  </si>
  <si>
    <t>5. Dependencies — log deliverables you're waiting on from other teams or vendors.</t>
  </si>
  <si>
    <t>Tips</t>
  </si>
  <si>
    <t>- Each row has a colored Status cell (Open / In Progress / Mitigated / Closed / Escalated) so the log is scannable at a glance.</t>
  </si>
  <si>
    <t>- Risk Priority is calculated as Likelihood x Impact, then banded into Critical / High / Medium / Low. Don't overwrite column F or G on the Risks tab.</t>
  </si>
  <si>
    <t>- Rows are pre-formatted through row 60 on each tab. To add more, select the last formatted row and drag or copy-paste it down.</t>
  </si>
  <si>
    <t>- Review the log in every status meeting; stale 'Open' items are the biggest early-warning sign of project trouble.</t>
  </si>
  <si>
    <t>- Use the filter arrows on each header row to focus on one owner, category, or status at a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</si>
</sst>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9]d\-mmm;@"/>
  </numFmts>
  <fonts count="15">
    <font>
      <sz val="11"/>
      <color theme="1"/>
      <name val="Calibri"/>
      <family val="2"/>
      <charset val="1"/>
    </font>
    <font>
      <b/>
      <sz val="18"/>
      <color rgb="FF1F3864"/>
      <name val="Arial"/>
      <family val="2"/>
    </font>
    <font>
      <i/>
      <sz val="11"/>
      <color rgb="FF595959"/>
      <name val="Arial"/>
      <family val="2"/>
    </font>
    <font>
      <sz val="10.5"/>
      <color rgb="FF1F1F1F"/>
      <name val="Arial"/>
      <family val="2"/>
    </font>
    <font>
      <b/>
      <sz val="12"/>
      <color rgb="FF1F3864"/>
      <name val="Arial"/>
      <family val="2"/>
    </font>
    <font>
      <b/>
      <sz val="16"/>
      <color rgb="FF1F3864"/>
      <name val="Arial"/>
      <family val="2"/>
    </font>
    <font>
      <i/>
      <sz val="10"/>
      <color rgb="FF595959"/>
      <name val="Arial"/>
      <family val="2"/>
    </font>
    <font>
      <b/>
      <sz val="10"/>
      <color rgb="FFFFFFFF"/>
      <name val="Arial"/>
      <family val="2"/>
    </font>
    <font>
      <sz val="10"/>
      <name val="Arial"/>
      <family val="2"/>
    </font>
    <font>
      <b/>
      <sz val="11"/>
      <name val="Arial"/>
      <family val="2"/>
    </font>
    <font>
      <sz val="8"/>
      <name val="Calibri"/>
      <family val="2"/>
      <charset val="1"/>
    </font>
    <font>
      <sz val="10"/>
      <color rgb="FF172B4D"/>
      <name val="-Apple-System"/>
      <charset val="1"/>
    </font>
    <font>
      <sz val="10"/>
      <name val="Arial"/>
    </font>
    <font>
      <sz val="10"/>
      <color rgb="FF172B4D"/>
      <name val="-Apple-System"/>
    </font>
    <font>
      <sz val="10"/>
      <color rgb="FF000000"/>
      <name val="Arial"/>
    </font>
  </fonts>
  <fills count="7">
    <fill>
      <patternFill patternType="none"/>
    </fill>
    <fill>
      <patternFill patternType="gray125"/>
    </fill>
    <fill>
      <patternFill patternType="solid">
        <fgColor rgb="FF1F3864"/>
        <bgColor rgb="FF1F1F1F"/>
      </patternFill>
    </fill>
    <fill>
      <patternFill patternType="solid">
        <fgColor rgb="FFF2F2F2"/>
        <bgColor rgb="FFFFFFFF"/>
      </patternFill>
    </fill>
    <fill>
      <patternFill patternType="solid">
        <fgColor rgb="FFD9E2F3"/>
        <bgColor rgb="FFD9D9D9"/>
      </patternFill>
    </fill>
    <fill>
      <patternFill patternType="solid">
        <fgColor theme="4" tint="0.79998168889431442"/>
        <bgColor theme="4" tint="0.79998168889431442"/>
      </patternFill>
    </fill>
    <fill>
      <patternFill patternType="solid">
        <fgColor rgb="FFFFFFFF"/>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top style="thin">
        <color rgb="FFBFBFBF"/>
      </top>
      <bottom/>
      <diagonal/>
    </border>
    <border>
      <left/>
      <right style="thin">
        <color rgb="FFBFBFBF"/>
      </right>
      <top style="thin">
        <color rgb="FFBFBFBF"/>
      </top>
      <bottom style="thin">
        <color rgb="FFBFBFBF"/>
      </bottom>
      <diagonal/>
    </border>
    <border>
      <left/>
      <right style="thin">
        <color rgb="FFBFBFBF"/>
      </right>
      <top style="thin">
        <color rgb="FFBFBFBF"/>
      </top>
      <bottom/>
      <diagonal/>
    </border>
  </borders>
  <cellStyleXfs count="1">
    <xf numFmtId="0" fontId="0" fillId="0" borderId="0"/>
  </cellStyleXfs>
  <cellXfs count="69">
    <xf numFmtId="0" fontId="0" fillId="0" borderId="0" xfId="0"/>
    <xf numFmtId="0" fontId="6" fillId="0" borderId="0" xfId="0" applyFont="1"/>
    <xf numFmtId="0" fontId="4" fillId="0" borderId="0" xfId="0" applyFont="1"/>
    <xf numFmtId="0" fontId="7" fillId="2" borderId="1" xfId="0" applyFont="1" applyFill="1" applyBorder="1" applyAlignment="1">
      <alignment horizontal="center" vertical="center" wrapText="1"/>
    </xf>
    <xf numFmtId="0" fontId="8" fillId="0" borderId="1" xfId="0" applyFont="1" applyBorder="1" applyAlignment="1">
      <alignment vertical="center" wrapText="1"/>
    </xf>
    <xf numFmtId="0" fontId="8" fillId="3" borderId="1" xfId="0" applyFont="1" applyFill="1" applyBorder="1" applyAlignment="1">
      <alignment vertical="center" wrapText="1"/>
    </xf>
    <xf numFmtId="0" fontId="9" fillId="4" borderId="1" xfId="0" applyFont="1" applyFill="1" applyBorder="1" applyAlignment="1">
      <alignment vertical="center" wrapText="1"/>
    </xf>
    <xf numFmtId="0" fontId="8" fillId="0" borderId="1" xfId="0" applyFont="1" applyBorder="1" applyAlignment="1">
      <alignment horizontal="center" vertical="center"/>
    </xf>
    <xf numFmtId="164" fontId="8" fillId="0" borderId="1" xfId="0" applyNumberFormat="1" applyFont="1" applyBorder="1" applyAlignment="1">
      <alignment vertical="center" wrapText="1"/>
    </xf>
    <xf numFmtId="0" fontId="8" fillId="3" borderId="1" xfId="0" applyFont="1" applyFill="1" applyBorder="1" applyAlignment="1">
      <alignment horizontal="center" vertical="center"/>
    </xf>
    <xf numFmtId="164" fontId="8" fillId="3" borderId="1" xfId="0" applyNumberFormat="1" applyFont="1" applyFill="1" applyBorder="1" applyAlignment="1">
      <alignment vertical="center" wrapText="1"/>
    </xf>
    <xf numFmtId="0" fontId="5" fillId="0" borderId="0" xfId="0" applyFont="1" applyAlignment="1">
      <alignment vertical="center"/>
    </xf>
    <xf numFmtId="0" fontId="7"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5" fillId="0" borderId="0" xfId="0" applyFont="1" applyAlignment="1">
      <alignment horizontal="left" vertical="center"/>
    </xf>
    <xf numFmtId="164" fontId="8" fillId="3" borderId="1" xfId="0" applyNumberFormat="1" applyFont="1" applyFill="1" applyBorder="1" applyAlignment="1">
      <alignment horizontal="center" vertical="center" wrapText="1"/>
    </xf>
    <xf numFmtId="0" fontId="0" fillId="0" borderId="0" xfId="0" applyAlignment="1">
      <alignment horizontal="center"/>
    </xf>
    <xf numFmtId="165" fontId="5" fillId="0" borderId="0" xfId="0" applyNumberFormat="1" applyFont="1" applyAlignment="1">
      <alignment horizontal="left" vertical="center"/>
    </xf>
    <xf numFmtId="165" fontId="6" fillId="0" borderId="0" xfId="0" applyNumberFormat="1" applyFont="1"/>
    <xf numFmtId="165" fontId="7" fillId="2" borderId="1" xfId="0" applyNumberFormat="1" applyFont="1" applyFill="1" applyBorder="1" applyAlignment="1">
      <alignment horizontal="center" vertical="center" wrapText="1"/>
    </xf>
    <xf numFmtId="165" fontId="8" fillId="0" borderId="1" xfId="0" applyNumberFormat="1" applyFont="1" applyBorder="1" applyAlignment="1">
      <alignment horizontal="center" vertical="center" wrapText="1"/>
    </xf>
    <xf numFmtId="165" fontId="8" fillId="3" borderId="1" xfId="0" applyNumberFormat="1" applyFont="1" applyFill="1" applyBorder="1" applyAlignment="1">
      <alignment horizontal="center" vertical="center" wrapText="1"/>
    </xf>
    <xf numFmtId="165" fontId="0" fillId="0" borderId="0" xfId="0" applyNumberFormat="1" applyAlignment="1">
      <alignment horizontal="center"/>
    </xf>
    <xf numFmtId="165" fontId="8" fillId="0" borderId="1" xfId="0" applyNumberFormat="1" applyFont="1" applyBorder="1" applyAlignment="1">
      <alignment horizontal="center" vertical="center"/>
    </xf>
    <xf numFmtId="165" fontId="8" fillId="3" borderId="1" xfId="0" applyNumberFormat="1" applyFont="1" applyFill="1" applyBorder="1" applyAlignment="1">
      <alignment horizontal="center" vertical="center"/>
    </xf>
    <xf numFmtId="165" fontId="0" fillId="0" borderId="0" xfId="0" applyNumberFormat="1"/>
    <xf numFmtId="0" fontId="5" fillId="0" borderId="0" xfId="0" applyFont="1" applyAlignment="1">
      <alignment horizontal="center" vertical="center"/>
    </xf>
    <xf numFmtId="0" fontId="6" fillId="0" borderId="0" xfId="0" applyFont="1" applyAlignment="1">
      <alignment horizontal="center"/>
    </xf>
    <xf numFmtId="0" fontId="8" fillId="3" borderId="1" xfId="0" applyFont="1" applyFill="1" applyBorder="1" applyAlignment="1">
      <alignment horizontal="center" vertical="center" wrapText="1"/>
    </xf>
    <xf numFmtId="0" fontId="8" fillId="5" borderId="1" xfId="0" applyFont="1" applyFill="1" applyBorder="1" applyAlignment="1">
      <alignment horizontal="center" vertical="center"/>
    </xf>
    <xf numFmtId="0" fontId="8" fillId="5" borderId="1" xfId="0" applyFont="1" applyFill="1" applyBorder="1" applyAlignment="1">
      <alignment horizontal="center" vertical="center" wrapText="1"/>
    </xf>
    <xf numFmtId="0" fontId="8" fillId="5" borderId="1" xfId="0" applyFont="1" applyFill="1" applyBorder="1" applyAlignment="1">
      <alignment vertical="center" wrapText="1"/>
    </xf>
    <xf numFmtId="0" fontId="12" fillId="5" borderId="1" xfId="0" applyFont="1" applyFill="1" applyBorder="1" applyAlignment="1">
      <alignment horizontal="center" vertical="center" wrapText="1"/>
    </xf>
    <xf numFmtId="0" fontId="11" fillId="6" borderId="1" xfId="0" applyFont="1" applyFill="1" applyBorder="1" applyAlignment="1">
      <alignment wrapText="1"/>
    </xf>
    <xf numFmtId="164" fontId="8" fillId="5" borderId="1" xfId="0" applyNumberFormat="1" applyFont="1" applyFill="1" applyBorder="1" applyAlignment="1">
      <alignment horizontal="center" vertical="center" wrapText="1"/>
    </xf>
    <xf numFmtId="164" fontId="8" fillId="5" borderId="1" xfId="0" applyNumberFormat="1" applyFont="1" applyFill="1" applyBorder="1" applyAlignment="1">
      <alignment vertical="center" wrapText="1"/>
    </xf>
    <xf numFmtId="0" fontId="8" fillId="0" borderId="1" xfId="0" applyFont="1" applyBorder="1" applyAlignment="1">
      <alignment horizontal="center" vertical="center" wrapText="1"/>
    </xf>
    <xf numFmtId="0" fontId="12" fillId="3"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12" fillId="3" borderId="1" xfId="0" applyFont="1" applyFill="1" applyBorder="1" applyAlignment="1">
      <alignment vertical="center" wrapText="1"/>
    </xf>
    <xf numFmtId="0" fontId="13" fillId="6" borderId="1" xfId="0" applyFont="1" applyFill="1" applyBorder="1" applyAlignment="1">
      <alignment wrapText="1"/>
    </xf>
    <xf numFmtId="164" fontId="8" fillId="0" borderId="1" xfId="0" applyNumberFormat="1" applyFont="1" applyBorder="1" applyAlignment="1">
      <alignment horizontal="center" vertical="center" wrapText="1"/>
    </xf>
    <xf numFmtId="0" fontId="8" fillId="5" borderId="0" xfId="0" applyFont="1" applyFill="1" applyAlignment="1">
      <alignment horizontal="center" vertical="center" wrapText="1"/>
    </xf>
    <xf numFmtId="0" fontId="0" fillId="0" borderId="1" xfId="0" applyBorder="1" applyAlignment="1">
      <alignment horizontal="center"/>
    </xf>
    <xf numFmtId="0" fontId="8" fillId="3" borderId="0" xfId="0" applyFont="1" applyFill="1" applyAlignment="1">
      <alignment vertical="center" wrapText="1"/>
    </xf>
    <xf numFmtId="0" fontId="0" fillId="0" borderId="1" xfId="0" applyBorder="1"/>
    <xf numFmtId="164" fontId="8" fillId="5" borderId="0" xfId="0" applyNumberFormat="1" applyFont="1" applyFill="1" applyAlignment="1">
      <alignment horizontal="center" vertical="center" wrapText="1"/>
    </xf>
    <xf numFmtId="164" fontId="8" fillId="3" borderId="0" xfId="0" applyNumberFormat="1" applyFont="1" applyFill="1" applyAlignment="1">
      <alignment vertical="center" wrapText="1"/>
    </xf>
    <xf numFmtId="164" fontId="8" fillId="5" borderId="0" xfId="0" applyNumberFormat="1" applyFont="1" applyFill="1" applyAlignment="1">
      <alignment vertical="center" wrapText="1"/>
    </xf>
    <xf numFmtId="0" fontId="8" fillId="5" borderId="0" xfId="0" applyFont="1" applyFill="1" applyAlignment="1">
      <alignment vertical="center" wrapText="1"/>
    </xf>
    <xf numFmtId="0" fontId="7" fillId="2" borderId="4" xfId="0" applyFont="1" applyFill="1" applyBorder="1" applyAlignment="1">
      <alignment horizontal="center" vertical="center" wrapText="1"/>
    </xf>
    <xf numFmtId="0" fontId="12" fillId="3" borderId="5" xfId="0" applyFont="1" applyFill="1" applyBorder="1" applyAlignment="1">
      <alignment horizontal="center" vertical="center"/>
    </xf>
    <xf numFmtId="0" fontId="8" fillId="3" borderId="5" xfId="0" applyFont="1" applyFill="1" applyBorder="1" applyAlignment="1">
      <alignment horizontal="center" vertical="center"/>
    </xf>
    <xf numFmtId="0" fontId="12" fillId="3" borderId="0" xfId="0" applyFont="1" applyFill="1" applyAlignment="1">
      <alignment horizontal="center" vertical="center"/>
    </xf>
    <xf numFmtId="0" fontId="12" fillId="3" borderId="0" xfId="0" applyFont="1" applyFill="1" applyAlignment="1">
      <alignment vertical="center" wrapText="1"/>
    </xf>
    <xf numFmtId="0" fontId="12" fillId="3" borderId="0" xfId="0" applyFont="1" applyFill="1" applyAlignment="1">
      <alignment horizontal="center" vertical="center" wrapText="1"/>
    </xf>
    <xf numFmtId="0" fontId="14" fillId="0" borderId="0" xfId="0" applyFont="1" applyAlignment="1">
      <alignment horizontal="center" vertical="center" wrapText="1"/>
    </xf>
    <xf numFmtId="0" fontId="8" fillId="3" borderId="6" xfId="0" applyFont="1" applyFill="1" applyBorder="1" applyAlignment="1">
      <alignment horizontal="center" vertical="center"/>
    </xf>
    <xf numFmtId="0" fontId="8" fillId="5" borderId="2"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11" fillId="6" borderId="2" xfId="0" applyFont="1" applyFill="1" applyBorder="1" applyAlignment="1">
      <alignment wrapText="1"/>
    </xf>
    <xf numFmtId="0" fontId="8" fillId="3" borderId="2" xfId="0" applyFont="1" applyFill="1" applyBorder="1" applyAlignment="1">
      <alignment vertical="center" wrapText="1"/>
    </xf>
    <xf numFmtId="0" fontId="0" fillId="0" borderId="0" xfId="0" applyAlignment="1">
      <alignment vertical="center"/>
    </xf>
    <xf numFmtId="0" fontId="5" fillId="0" borderId="0" xfId="0" applyFont="1" applyAlignment="1">
      <alignment horizontal="left" vertical="center"/>
    </xf>
    <xf numFmtId="0" fontId="3" fillId="0" borderId="0" xfId="0" applyFont="1" applyAlignment="1">
      <alignment vertical="center" wrapText="1"/>
    </xf>
    <xf numFmtId="0" fontId="4" fillId="0" borderId="0" xfId="0" applyFont="1" applyAlignment="1">
      <alignment vertical="center" wrapText="1"/>
    </xf>
    <xf numFmtId="0" fontId="6" fillId="0" borderId="0" xfId="0" applyFont="1" applyAlignment="1"/>
    <xf numFmtId="0" fontId="1" fillId="0" borderId="0" xfId="0" applyFont="1" applyAlignment="1"/>
    <xf numFmtId="0" fontId="2" fillId="0" borderId="0" xfId="0" applyFont="1" applyAlignment="1"/>
  </cellXfs>
  <cellStyles count="1">
    <cellStyle name="Normal" xfId="0" builtinId="0"/>
  </cellStyles>
  <dxfs count="39">
    <dxf>
      <font>
        <color rgb="FFFFFFFF"/>
        <name val="Arial"/>
        <charset val="1"/>
      </font>
      <fill>
        <patternFill>
          <bgColor rgb="FF63BE7B"/>
        </patternFill>
      </fill>
    </dxf>
    <dxf>
      <font>
        <color rgb="FF375623"/>
        <name val="Arial"/>
        <charset val="1"/>
      </font>
      <fill>
        <patternFill>
          <bgColor rgb="FFC6E0B4"/>
        </patternFill>
      </fill>
    </dxf>
    <dxf>
      <font>
        <color rgb="FF7F6000"/>
        <name val="Arial"/>
        <charset val="1"/>
      </font>
      <fill>
        <patternFill>
          <bgColor rgb="FFFFEB84"/>
        </patternFill>
      </fill>
    </dxf>
    <dxf>
      <font>
        <b/>
        <color rgb="FFFFFFFF"/>
        <name val="Arial"/>
        <charset val="1"/>
      </font>
      <fill>
        <patternFill>
          <bgColor rgb="FFC00000"/>
        </patternFill>
      </fill>
    </dxf>
    <dxf>
      <font>
        <color rgb="FF9C0006"/>
        <name val="Arial"/>
        <charset val="1"/>
      </font>
      <fill>
        <patternFill>
          <bgColor rgb="FFF8696B"/>
        </patternFill>
      </fill>
    </dxf>
    <dxf>
      <font>
        <color rgb="FFFFFFFF"/>
        <name val="Arial"/>
        <charset val="1"/>
      </font>
      <fill>
        <patternFill>
          <bgColor rgb="FF63BE7B"/>
        </patternFill>
      </fill>
    </dxf>
    <dxf>
      <font>
        <color rgb="FF375623"/>
        <name val="Arial"/>
        <charset val="1"/>
      </font>
      <fill>
        <patternFill>
          <bgColor rgb="FFC6E0B4"/>
        </patternFill>
      </fill>
    </dxf>
    <dxf>
      <font>
        <color rgb="FF7F6000"/>
        <name val="Arial"/>
        <charset val="1"/>
      </font>
      <fill>
        <patternFill>
          <bgColor rgb="FFFFEB84"/>
        </patternFill>
      </fill>
    </dxf>
    <dxf>
      <font>
        <b/>
        <color rgb="FFFFFFFF"/>
        <name val="Arial"/>
        <charset val="1"/>
      </font>
      <fill>
        <patternFill>
          <bgColor rgb="FFC00000"/>
        </patternFill>
      </fill>
    </dxf>
    <dxf>
      <font>
        <color rgb="FF9C0006"/>
        <name val="Arial"/>
        <charset val="1"/>
      </font>
      <fill>
        <patternFill>
          <bgColor rgb="FFF8696B"/>
        </patternFill>
      </fill>
    </dxf>
    <dxf>
      <font>
        <color rgb="FF375623"/>
        <name val="Arial"/>
        <charset val="1"/>
      </font>
      <fill>
        <patternFill>
          <bgColor rgb="FF63BE7B"/>
        </patternFill>
      </fill>
    </dxf>
    <dxf>
      <font>
        <color rgb="FF7F4A00"/>
        <name val="Arial"/>
        <charset val="1"/>
      </font>
      <fill>
        <patternFill>
          <bgColor rgb="FFFFC28C"/>
        </patternFill>
      </fill>
    </dxf>
    <dxf>
      <font>
        <color rgb="FF9C0006"/>
        <name val="Arial"/>
        <charset val="1"/>
      </font>
      <fill>
        <patternFill>
          <bgColor rgb="FFF8696B"/>
        </patternFill>
      </fill>
    </dxf>
    <dxf>
      <font>
        <b/>
        <color rgb="FFFFFFFF"/>
        <name val="Arial"/>
        <charset val="1"/>
      </font>
      <fill>
        <patternFill>
          <bgColor rgb="FFC00000"/>
        </patternFill>
      </fill>
    </dxf>
    <dxf>
      <font>
        <color rgb="FFFFFFFF"/>
        <name val="Arial"/>
        <charset val="1"/>
      </font>
      <fill>
        <patternFill>
          <bgColor rgb="FF63BE7B"/>
        </patternFill>
      </fill>
    </dxf>
    <dxf>
      <font>
        <color rgb="FF375623"/>
        <name val="Arial"/>
        <charset val="1"/>
      </font>
      <fill>
        <patternFill>
          <bgColor rgb="FFC6E0B4"/>
        </patternFill>
      </fill>
    </dxf>
    <dxf>
      <font>
        <color rgb="FF7F6000"/>
        <name val="Arial"/>
        <charset val="1"/>
      </font>
      <fill>
        <patternFill>
          <bgColor rgb="FFFFEB84"/>
        </patternFill>
      </fill>
    </dxf>
    <dxf>
      <font>
        <b/>
        <color rgb="FFFFFFFF"/>
        <name val="Arial"/>
        <charset val="1"/>
      </font>
      <fill>
        <patternFill>
          <bgColor rgb="FFC00000"/>
        </patternFill>
      </fill>
    </dxf>
    <dxf>
      <font>
        <color rgb="FF9C0006"/>
        <name val="Arial"/>
        <charset val="1"/>
      </font>
      <fill>
        <patternFill>
          <bgColor rgb="FFF8696B"/>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172B4D"/>
        <name val="-Apple-System"/>
        <charset val="1"/>
        <scheme val="none"/>
      </font>
      <fill>
        <patternFill patternType="solid">
          <fgColor indexed="64"/>
          <bgColor rgb="FFFFFFFF"/>
        </patternFill>
      </fill>
      <alignment horizontal="general"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fill>
        <patternFill patternType="solid">
          <fgColor rgb="FFFFFFFF"/>
          <bgColor rgb="FFF2F2F2"/>
        </patternFill>
      </fill>
      <alignment horizontal="center"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left style="thin">
          <color rgb="FFBFBFBF"/>
        </left>
        <top style="thin">
          <color rgb="FFBFBFBF"/>
        </top>
      </border>
    </dxf>
    <dxf>
      <font>
        <b/>
        <i val="0"/>
        <strike val="0"/>
        <condense val="0"/>
        <extend val="0"/>
        <outline val="0"/>
        <shadow val="0"/>
        <u val="none"/>
        <vertAlign val="baseline"/>
        <sz val="10"/>
        <color rgb="FFFFFFFF"/>
        <name val="Arial"/>
        <family val="2"/>
        <scheme val="none"/>
      </font>
      <fill>
        <patternFill patternType="solid">
          <fgColor rgb="FF1F1F1F"/>
          <bgColor rgb="FF1F3864"/>
        </patternFill>
      </fill>
      <alignment horizontal="center" vertical="center" textRotation="0" wrapText="1" indent="0" justifyLastLine="0" shrinkToFit="0" readingOrder="0"/>
    </dxf>
    <dxf>
      <font>
        <color rgb="FF375623"/>
        <name val="Arial"/>
        <charset val="1"/>
      </font>
      <fill>
        <patternFill>
          <bgColor rgb="FF63BE7B"/>
        </patternFill>
      </fill>
    </dxf>
    <dxf>
      <font>
        <color rgb="FF7F4A00"/>
        <name val="Arial"/>
        <charset val="1"/>
      </font>
      <fill>
        <patternFill>
          <bgColor rgb="FFFFC28C"/>
        </patternFill>
      </fill>
    </dxf>
    <dxf>
      <font>
        <color rgb="FF9C0006"/>
        <name val="Arial"/>
        <charset val="1"/>
      </font>
      <fill>
        <patternFill>
          <bgColor rgb="FFF8696B"/>
        </patternFill>
      </fill>
    </dxf>
    <dxf>
      <font>
        <b/>
        <color rgb="FFFFFFFF"/>
        <name val="Arial"/>
        <charset val="1"/>
      </font>
      <fill>
        <patternFill>
          <bgColor rgb="FFC00000"/>
        </patternFill>
      </fill>
    </dxf>
    <dxf>
      <font>
        <color rgb="FFFFFFFF"/>
        <name val="Arial"/>
        <charset val="1"/>
      </font>
      <fill>
        <patternFill>
          <bgColor rgb="FF63BE7B"/>
        </patternFill>
      </fill>
    </dxf>
    <dxf>
      <font>
        <color rgb="FF375623"/>
        <name val="Arial"/>
        <charset val="1"/>
      </font>
      <fill>
        <patternFill>
          <bgColor rgb="FFC6E0B4"/>
        </patternFill>
      </fill>
    </dxf>
    <dxf>
      <font>
        <color rgb="FF7F6000"/>
        <name val="Arial"/>
        <charset val="1"/>
      </font>
      <fill>
        <patternFill>
          <bgColor rgb="FFFFEB84"/>
        </patternFill>
      </fill>
    </dxf>
    <dxf>
      <font>
        <b/>
        <color rgb="FFFFFFFF"/>
        <name val="Arial"/>
        <charset val="1"/>
      </font>
      <fill>
        <patternFill>
          <bgColor rgb="FFC00000"/>
        </patternFill>
      </fill>
    </dxf>
    <dxf>
      <font>
        <color rgb="FF9C0006"/>
        <name val="Arial"/>
        <charset val="1"/>
      </font>
      <fill>
        <patternFill>
          <bgColor rgb="FFF8696B"/>
        </patternFill>
      </fill>
    </dxf>
    <dxf>
      <font>
        <color rgb="FF375623"/>
        <name val="Arial"/>
        <charset val="1"/>
      </font>
      <fill>
        <patternFill>
          <bgColor rgb="FF63BE7B"/>
        </patternFill>
      </fill>
    </dxf>
    <dxf>
      <font>
        <color rgb="FF7F4A00"/>
        <name val="Arial"/>
        <charset val="1"/>
      </font>
      <fill>
        <patternFill>
          <bgColor rgb="FFFFC28C"/>
        </patternFill>
      </fill>
    </dxf>
    <dxf>
      <font>
        <color rgb="FF9C0006"/>
        <name val="Arial"/>
        <charset val="1"/>
      </font>
      <fill>
        <patternFill>
          <bgColor rgb="FFF8696B"/>
        </patternFill>
      </fill>
    </dxf>
    <dxf>
      <font>
        <b/>
        <color rgb="FFFFFFFF"/>
        <name val="Arial"/>
        <charset val="1"/>
      </font>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C0504D"/>
      <rgbColor rgb="FFF2F2F2"/>
      <rgbColor rgb="FFD9E2F3"/>
      <rgbColor rgb="FF660066"/>
      <rgbColor rgb="FFF8696B"/>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B84"/>
      <rgbColor rgb="FF99CCFF"/>
      <rgbColor rgb="FFFF99CC"/>
      <rgbColor rgb="FFCC99FF"/>
      <rgbColor rgb="FFFFC28C"/>
      <rgbColor rgb="FF4F81BD"/>
      <rgbColor rgb="FF4BACC6"/>
      <rgbColor rgb="FF9BBB59"/>
      <rgbColor rgb="FFFFCC00"/>
      <rgbColor rgb="FFBF8F00"/>
      <rgbColor rgb="FFE36C09"/>
      <rgbColor rgb="FF8064A2"/>
      <rgbColor rgb="FF878787"/>
      <rgbColor rgb="FF1F3864"/>
      <rgbColor rgb="FF63BE7B"/>
      <rgbColor rgb="FF003300"/>
      <rgbColor rgb="FF375623"/>
      <rgbColor rgb="FF7F4A00"/>
      <rgbColor rgb="FF993366"/>
      <rgbColor rgb="FF595959"/>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RAID Items by Status</a:t>
            </a:r>
          </a:p>
        </c:rich>
      </c:tx>
      <c:overlay val="0"/>
      <c:spPr>
        <a:noFill/>
        <a:ln w="0">
          <a:noFill/>
        </a:ln>
      </c:spPr>
    </c:title>
    <c:autoTitleDeleted val="0"/>
    <c:plotArea>
      <c:layout/>
      <c:barChart>
        <c:barDir val="col"/>
        <c:grouping val="clustered"/>
        <c:varyColors val="0"/>
        <c:ser>
          <c:idx val="0"/>
          <c:order val="0"/>
          <c:tx>
            <c:strRef>
              <c:f>Dashboard!$B$3</c:f>
              <c:strCache>
                <c:ptCount val="1"/>
                <c:pt idx="0">
                  <c:v>Open</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Dashboard!$A$4:$A$7</c:f>
              <c:strCache>
                <c:ptCount val="4"/>
                <c:pt idx="0">
                  <c:v>Risks</c:v>
                </c:pt>
                <c:pt idx="1">
                  <c:v>Assumptions</c:v>
                </c:pt>
                <c:pt idx="2">
                  <c:v>Issues</c:v>
                </c:pt>
                <c:pt idx="3">
                  <c:v>Dependencies</c:v>
                </c:pt>
              </c:strCache>
            </c:strRef>
          </c:cat>
          <c:val>
            <c:numRef>
              <c:f>Dashboard!$B$4:$B$7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1BED-403C-BF33-7D1B6BF2F148}"/>
            </c:ext>
          </c:extLst>
        </c:ser>
        <c:ser>
          <c:idx val="1"/>
          <c:order val="1"/>
          <c:tx>
            <c:strRef>
              <c:f>Dashboard!$C$3</c:f>
              <c:strCache>
                <c:ptCount val="1"/>
                <c:pt idx="0">
                  <c:v>In Progress</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Dashboard!$A$4:$A$7</c:f>
              <c:strCache>
                <c:ptCount val="4"/>
                <c:pt idx="0">
                  <c:v>Risks</c:v>
                </c:pt>
                <c:pt idx="1">
                  <c:v>Assumptions</c:v>
                </c:pt>
                <c:pt idx="2">
                  <c:v>Issues</c:v>
                </c:pt>
                <c:pt idx="3">
                  <c:v>Dependencies</c:v>
                </c:pt>
              </c:strCache>
            </c:strRef>
          </c:cat>
          <c:val>
            <c:numRef>
              <c:f>Dashboard!$C$4:$C$7</c:f>
              <c:numCache>
                <c:formatCode>General</c:formatCode>
                <c:ptCount val="4"/>
                <c:pt idx="0">
                  <c:v>1</c:v>
                </c:pt>
                <c:pt idx="1">
                  <c:v>1</c:v>
                </c:pt>
                <c:pt idx="2">
                  <c:v>1</c:v>
                </c:pt>
                <c:pt idx="3">
                  <c:v>5</c:v>
                </c:pt>
              </c:numCache>
            </c:numRef>
          </c:val>
          <c:extLst>
            <c:ext xmlns:c16="http://schemas.microsoft.com/office/drawing/2014/chart" uri="{C3380CC4-5D6E-409C-BE32-E72D297353CC}">
              <c16:uniqueId val="{00000001-1BED-403C-BF33-7D1B6BF2F148}"/>
            </c:ext>
          </c:extLst>
        </c:ser>
        <c:ser>
          <c:idx val="2"/>
          <c:order val="2"/>
          <c:tx>
            <c:strRef>
              <c:f>Dashboard!$D$3</c:f>
              <c:strCache>
                <c:ptCount val="1"/>
                <c:pt idx="0">
                  <c:v>Mitigated</c:v>
                </c:pt>
              </c:strCache>
            </c:strRef>
          </c:tx>
          <c:spPr>
            <a:solidFill>
              <a:srgbClr val="9BBB59"/>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Dashboard!$A$4:$A$7</c:f>
              <c:strCache>
                <c:ptCount val="4"/>
                <c:pt idx="0">
                  <c:v>Risks</c:v>
                </c:pt>
                <c:pt idx="1">
                  <c:v>Assumptions</c:v>
                </c:pt>
                <c:pt idx="2">
                  <c:v>Issues</c:v>
                </c:pt>
                <c:pt idx="3">
                  <c:v>Dependencies</c:v>
                </c:pt>
              </c:strCache>
            </c:strRef>
          </c:cat>
          <c:val>
            <c:numRef>
              <c:f>Dashboard!$D$4:$D$7</c:f>
              <c:numCache>
                <c:formatCode>General</c:formatCode>
                <c:ptCount val="4"/>
                <c:pt idx="0">
                  <c:v>10</c:v>
                </c:pt>
                <c:pt idx="1">
                  <c:v>0</c:v>
                </c:pt>
                <c:pt idx="2">
                  <c:v>0</c:v>
                </c:pt>
                <c:pt idx="3">
                  <c:v>1</c:v>
                </c:pt>
              </c:numCache>
            </c:numRef>
          </c:val>
          <c:extLst>
            <c:ext xmlns:c16="http://schemas.microsoft.com/office/drawing/2014/chart" uri="{C3380CC4-5D6E-409C-BE32-E72D297353CC}">
              <c16:uniqueId val="{00000002-1BED-403C-BF33-7D1B6BF2F148}"/>
            </c:ext>
          </c:extLst>
        </c:ser>
        <c:ser>
          <c:idx val="3"/>
          <c:order val="3"/>
          <c:tx>
            <c:strRef>
              <c:f>Dashboard!$E$3</c:f>
              <c:strCache>
                <c:ptCount val="1"/>
                <c:pt idx="0">
                  <c:v>Closed</c:v>
                </c:pt>
              </c:strCache>
            </c:strRef>
          </c:tx>
          <c:spPr>
            <a:solidFill>
              <a:srgbClr val="8064A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Dashboard!$A$4:$A$7</c:f>
              <c:strCache>
                <c:ptCount val="4"/>
                <c:pt idx="0">
                  <c:v>Risks</c:v>
                </c:pt>
                <c:pt idx="1">
                  <c:v>Assumptions</c:v>
                </c:pt>
                <c:pt idx="2">
                  <c:v>Issues</c:v>
                </c:pt>
                <c:pt idx="3">
                  <c:v>Dependencies</c:v>
                </c:pt>
              </c:strCache>
            </c:strRef>
          </c:cat>
          <c:val>
            <c:numRef>
              <c:f>Dashboard!$E$4:$E$7</c:f>
              <c:numCache>
                <c:formatCode>General</c:formatCode>
                <c:ptCount val="4"/>
                <c:pt idx="0">
                  <c:v>0</c:v>
                </c:pt>
                <c:pt idx="1">
                  <c:v>0</c:v>
                </c:pt>
                <c:pt idx="2">
                  <c:v>1</c:v>
                </c:pt>
                <c:pt idx="3">
                  <c:v>1</c:v>
                </c:pt>
              </c:numCache>
            </c:numRef>
          </c:val>
          <c:extLst>
            <c:ext xmlns:c16="http://schemas.microsoft.com/office/drawing/2014/chart" uri="{C3380CC4-5D6E-409C-BE32-E72D297353CC}">
              <c16:uniqueId val="{00000003-1BED-403C-BF33-7D1B6BF2F148}"/>
            </c:ext>
          </c:extLst>
        </c:ser>
        <c:ser>
          <c:idx val="4"/>
          <c:order val="4"/>
          <c:tx>
            <c:strRef>
              <c:f>Dashboard!$F$3</c:f>
              <c:strCache>
                <c:ptCount val="1"/>
                <c:pt idx="0">
                  <c:v>Escalated</c:v>
                </c:pt>
              </c:strCache>
            </c:strRef>
          </c:tx>
          <c:spPr>
            <a:solidFill>
              <a:srgbClr val="4BACC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Dashboard!$A$4:$A$7</c:f>
              <c:strCache>
                <c:ptCount val="4"/>
                <c:pt idx="0">
                  <c:v>Risks</c:v>
                </c:pt>
                <c:pt idx="1">
                  <c:v>Assumptions</c:v>
                </c:pt>
                <c:pt idx="2">
                  <c:v>Issues</c:v>
                </c:pt>
                <c:pt idx="3">
                  <c:v>Dependencies</c:v>
                </c:pt>
              </c:strCache>
            </c:strRef>
          </c:cat>
          <c:val>
            <c:numRef>
              <c:f>Dashboard!$F$4:$F$7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4-1BED-403C-BF33-7D1B6BF2F148}"/>
            </c:ext>
          </c:extLst>
        </c:ser>
        <c:dLbls>
          <c:showLegendKey val="0"/>
          <c:showVal val="0"/>
          <c:showCatName val="0"/>
          <c:showSerName val="0"/>
          <c:showPercent val="0"/>
          <c:showBubbleSize val="0"/>
        </c:dLbls>
        <c:gapWidth val="150"/>
        <c:axId val="56413165"/>
        <c:axId val="37416978"/>
      </c:barChart>
      <c:catAx>
        <c:axId val="56413165"/>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Category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7416978"/>
        <c:crosses val="autoZero"/>
        <c:auto val="1"/>
        <c:lblAlgn val="ctr"/>
        <c:lblOffset val="100"/>
        <c:noMultiLvlLbl val="0"/>
      </c:catAx>
      <c:valAx>
        <c:axId val="3741697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641316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Open Risks by Priority</a:t>
            </a:r>
          </a:p>
        </c:rich>
      </c:tx>
      <c:overlay val="0"/>
      <c:spPr>
        <a:noFill/>
        <a:ln w="0">
          <a:noFill/>
        </a:ln>
      </c:spPr>
    </c:title>
    <c:autoTitleDeleted val="0"/>
    <c:plotArea>
      <c:layout/>
      <c:pieChart>
        <c:varyColors val="1"/>
        <c:ser>
          <c:idx val="0"/>
          <c:order val="0"/>
          <c:tx>
            <c:strRef>
              <c:f>Dashboard!$B$12</c:f>
              <c:strCache>
                <c:ptCount val="1"/>
                <c:pt idx="0">
                  <c:v>Count (Open / In Progress)</c:v>
                </c:pt>
              </c:strCache>
            </c:strRef>
          </c:tx>
          <c:spPr>
            <a:solidFill>
              <a:srgbClr val="4F81BD"/>
            </a:solidFill>
            <a:ln w="0">
              <a:noFill/>
            </a:ln>
          </c:spPr>
          <c:dPt>
            <c:idx val="0"/>
            <c:bubble3D val="0"/>
            <c:extLst>
              <c:ext xmlns:c16="http://schemas.microsoft.com/office/drawing/2014/chart" uri="{C3380CC4-5D6E-409C-BE32-E72D297353CC}">
                <c16:uniqueId val="{00000001-903E-43EE-ADF6-5F60B3DEAD41}"/>
              </c:ext>
            </c:extLst>
          </c:dPt>
          <c:dPt>
            <c:idx val="1"/>
            <c:bubble3D val="0"/>
            <c:spPr>
              <a:solidFill>
                <a:srgbClr val="C0504D"/>
              </a:solidFill>
              <a:ln w="0">
                <a:noFill/>
              </a:ln>
            </c:spPr>
            <c:extLst>
              <c:ext xmlns:c16="http://schemas.microsoft.com/office/drawing/2014/chart" uri="{C3380CC4-5D6E-409C-BE32-E72D297353CC}">
                <c16:uniqueId val="{00000003-903E-43EE-ADF6-5F60B3DEAD41}"/>
              </c:ext>
            </c:extLst>
          </c:dPt>
          <c:dPt>
            <c:idx val="2"/>
            <c:bubble3D val="0"/>
            <c:spPr>
              <a:solidFill>
                <a:srgbClr val="9BBB59"/>
              </a:solidFill>
              <a:ln w="0">
                <a:noFill/>
              </a:ln>
            </c:spPr>
            <c:extLst>
              <c:ext xmlns:c16="http://schemas.microsoft.com/office/drawing/2014/chart" uri="{C3380CC4-5D6E-409C-BE32-E72D297353CC}">
                <c16:uniqueId val="{00000005-903E-43EE-ADF6-5F60B3DEAD41}"/>
              </c:ext>
            </c:extLst>
          </c:dPt>
          <c:dPt>
            <c:idx val="3"/>
            <c:bubble3D val="0"/>
            <c:spPr>
              <a:solidFill>
                <a:srgbClr val="8064A2"/>
              </a:solidFill>
              <a:ln w="0">
                <a:noFill/>
              </a:ln>
            </c:spPr>
            <c:extLst>
              <c:ext xmlns:c16="http://schemas.microsoft.com/office/drawing/2014/chart" uri="{C3380CC4-5D6E-409C-BE32-E72D297353CC}">
                <c16:uniqueId val="{00000007-903E-43EE-ADF6-5F60B3DEAD41}"/>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903E-43EE-ADF6-5F60B3DEAD41}"/>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903E-43EE-ADF6-5F60B3DEAD41}"/>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903E-43EE-ADF6-5F60B3DEAD41}"/>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903E-43EE-ADF6-5F60B3DEAD41}"/>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Dashboard!$A$13:$A$16</c:f>
              <c:strCache>
                <c:ptCount val="4"/>
                <c:pt idx="0">
                  <c:v>Critical</c:v>
                </c:pt>
                <c:pt idx="1">
                  <c:v>High</c:v>
                </c:pt>
                <c:pt idx="2">
                  <c:v>Medium</c:v>
                </c:pt>
                <c:pt idx="3">
                  <c:v>Low</c:v>
                </c:pt>
              </c:strCache>
            </c:strRef>
          </c:cat>
          <c:val>
            <c:numRef>
              <c:f>Dashboard!$B$13:$B$16</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08-903E-43EE-ADF6-5F60B3DEAD41}"/>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ocumenttasks/documenttask1.xml><?xml version="1.0" encoding="utf-8"?>
<Tasks xmlns="http://schemas.microsoft.com/office/tasks/2019/documenttasks">
  <Task id="{9471875E-F01A-4514-ADE6-DCD165B9C59C}">
    <Anchor>
      <Comment id="{D41474BA-5597-49AC-A4C4-CB92AC62F34C}"/>
    </Anchor>
    <History>
      <Event time="2026-07-22T16:13:24.14" id="{FB8426D0-6B1A-4DFE-9F3D-8C30A934CD8C}">
        <Attribution userId="S::Alberto_Ferrari@bcbsil.com::f69b0d66-5f66-484f-9223-a1a4a0418f11" userName="Alberto Ferrari" userProvider="AD"/>
        <Anchor>
          <Comment id="{D41474BA-5597-49AC-A4C4-CB92AC62F34C}"/>
        </Anchor>
        <Create/>
      </Event>
      <Event time="2026-07-22T16:13:24.14" id="{23560E6C-87E3-49B3-A435-4FFE21DF3CEC}">
        <Attribution userId="S::Alberto_Ferrari@bcbsil.com::f69b0d66-5f66-484f-9223-a1a4a0418f11" userName="Alberto Ferrari" userProvider="AD"/>
        <Anchor>
          <Comment id="{D41474BA-5597-49AC-A4C4-CB92AC62F34C}"/>
        </Anchor>
        <Assign userId="S::Antonio_Machado@bcbsil.com::cae5cb23-a31d-4885-be0c-8fd6f05873ea" userName="Antonio Machado" userProvider="AD"/>
      </Event>
      <Event time="2026-07-22T16:13:24.14" id="{30DA5801-6B8A-4A3A-8199-F8FE0993D89D}">
        <Attribution userId="S::Alberto_Ferrari@bcbsil.com::f69b0d66-5f66-484f-9223-a1a4a0418f11" userName="Alberto Ferrari" userProvider="AD"/>
        <Anchor>
          <Comment id="{D41474BA-5597-49AC-A4C4-CB92AC62F34C}"/>
        </Anchor>
        <SetTitle title="@Antonio Machado ?"/>
      </Event>
    </History>
  </Task>
</Tasks>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708660</xdr:colOff>
      <xdr:row>8</xdr:row>
      <xdr:rowOff>91440</xdr:rowOff>
    </xdr:from>
    <xdr:to>
      <xdr:col>12</xdr:col>
      <xdr:colOff>467460</xdr:colOff>
      <xdr:row>23</xdr:row>
      <xdr:rowOff>35640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18</xdr:row>
      <xdr:rowOff>0</xdr:rowOff>
    </xdr:from>
    <xdr:to>
      <xdr:col>3</xdr:col>
      <xdr:colOff>533400</xdr:colOff>
      <xdr:row>33</xdr:row>
      <xdr:rowOff>21960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tlassian" id="{49B68AF3-3772-4E28-98B1-BDF47C331CDA}">
    <nsvFilter filterId="{860252B5-7EF4-4186-9E39-02784878B42D}" ref="A3:P31" tableId="1">
      <columnFilter colId="1" id="{BAE85134-EF02-49A3-9345-3261C973A2F9}">
        <filter colId="1">
          <x:filters>
            <x:filter val="Atlassian"/>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Antonio Machado" id="{C4093BDC-9396-479C-865A-7243835B5D71}" userId="Antonio_Machado@bcbsil.com" providerId="PeoplePicker"/>
  <person displayName="Alberto Ferrari" id="{9FC10B3F-EA77-4A8D-94B7-D4F233CCEFF6}" userId="S::Alberto_Ferrari@bcbsil.com::f69b0d66-5f66-484f-9223-a1a4a0418f1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0252B5-7EF4-4186-9E39-02784878B42D}" name="Table1" displayName="Table1" ref="A3:P31" totalsRowShown="0" headerRowDxfId="25" tableBorderDxfId="24">
  <autoFilter ref="A3:P31" xr:uid="{860252B5-7EF4-4186-9E39-02784878B42D}">
    <filterColumn colId="1">
      <filters>
        <filter val="GitHub"/>
      </filters>
    </filterColumn>
  </autoFilter>
  <tableColumns count="16">
    <tableColumn id="1" xr3:uid="{693AF9D4-85CC-4265-B769-E21A5DEC99BB}" name="Risk ID" dataDxfId="23"/>
    <tableColumn id="2" xr3:uid="{BAE85134-EF02-49A3-9345-3261C973A2F9}" name="Track"/>
    <tableColumn id="3" xr3:uid="{60B174C0-2B5E-4767-9ABB-D36041A7AEF2}" name="Category" dataDxfId="22"/>
    <tableColumn id="4" xr3:uid="{B520CD24-9FD2-48AB-8B5D-83AD746E16B5}" name="Risk Description"/>
    <tableColumn id="5" xr3:uid="{D6411044-2743-4AAB-A128-BD7E435E1CC5}" name="Status" dataDxfId="21"/>
    <tableColumn id="6" xr3:uid="{5787DFEC-83D3-48A9-AE5E-518A6216EBF3}" name="Likelihood"/>
    <tableColumn id="7" xr3:uid="{4BB0120C-67B5-41A2-8597-DB3E860AA7F3}" name="Impact"/>
    <tableColumn id="8" xr3:uid="{5385A9CB-5755-4D6E-9D9E-B1CEF4304251}" name="Risk Score" dataDxfId="20"/>
    <tableColumn id="9" xr3:uid="{5D332106-276B-44DA-A5C2-99069C439A2B}" name="Priority" dataDxfId="19">
      <calculatedColumnFormula array="1">_xlfn.LET( _xlpm.Score,_xlfn.SWITCH(F4,"High",3,"Medium",2,"Low",1)+_xlfn.SWITCH(G4,"High",3,"Medium",2,"Low",1),
_xlfn.IFS(
_xlpm.Score&lt;=2,"Low",
_xlpm.Score&lt;=5,"Medium",
_xlpm.Score=5,"High",
_xlpm.Score=6,"Critical"
)
)</calculatedColumnFormula>
    </tableColumn>
    <tableColumn id="10" xr3:uid="{3EEC9357-7555-4C16-82EF-D80100023F90}" name="Owner"/>
    <tableColumn id="11" xr3:uid="{E72E714C-A50F-4B4F-9B67-1207654A2557}" name="Mitigation / Response Plan"/>
    <tableColumn id="12" xr3:uid="{E8584A04-94D3-44D8-8F01-3AC65A4FF1F7}" name="Mitigation"/>
    <tableColumn id="13" xr3:uid="{B02C489E-E5D9-4305-8EF5-77BE09E0617B}" name="Date Identified"/>
    <tableColumn id="14" xr3:uid="{B39BCC43-BF77-4010-99C2-C6DE5A1C195D}" name="Target Review Date"/>
    <tableColumn id="15" xr3:uid="{7DDDBCC4-C8CE-49E6-BB88-B1145D749585}" name="Date Closed"/>
    <tableColumn id="16" xr3:uid="{885D1E63-AFA4-4921-8BE7-4444904099EE}"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8" dT="2026-07-22T16:13:24.16" personId="{9FC10B3F-EA77-4A8D-94B7-D4F233CCEFF6}" id="{D41474BA-5597-49AC-A4C4-CB92AC62F34C}">
    <text>@Antonio Machado ?</text>
    <mentions>
      <mention mentionpersonId="{C4093BDC-9396-479C-865A-7243835B5D71}" mentionId="{143E0A7A-A668-4F76-BAB8-7566855E088E}" startIndex="0" length="16"/>
    </mentions>
  </threadedComment>
  <threadedComment ref="C8" dT="2026-07-27T22:06:02.04" personId="{9FC10B3F-EA77-4A8D-94B7-D4F233CCEFF6}" id="{56EA6792-B984-419A-9B19-3CFBF4B381C9}" parentId="{D41474BA-5597-49AC-A4C4-CB92AC62F34C}">
    <text xml:space="preserve">@Antonio Machado </text>
    <mentions>
      <mention mentionpersonId="{C4093BDC-9396-479C-865A-7243835B5D71}" mentionId="{1683DBC6-A3EA-47CA-BB10-628953209352}" startIndex="0" length="16"/>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H16"/>
  <sheetViews>
    <sheetView showGridLines="0" zoomScaleNormal="100" workbookViewId="0">
      <selection activeCell="C14" sqref="C14"/>
    </sheetView>
  </sheetViews>
  <sheetFormatPr defaultColWidth="8.7109375" defaultRowHeight="14.45"/>
  <cols>
    <col min="1" max="1" width="16" customWidth="1"/>
    <col min="2" max="2" width="10" customWidth="1"/>
    <col min="3" max="3" width="12" customWidth="1"/>
    <col min="4" max="4" width="11" customWidth="1"/>
    <col min="5" max="5" width="10" customWidth="1"/>
    <col min="6" max="6" width="11" customWidth="1"/>
    <col min="7" max="7" width="10" customWidth="1"/>
  </cols>
  <sheetData>
    <row r="1" spans="1:8" ht="27.75" customHeight="1">
      <c r="A1" s="63" t="s">
        <v>0</v>
      </c>
      <c r="B1" s="63"/>
      <c r="C1" s="63"/>
      <c r="D1" s="63"/>
      <c r="E1" s="63"/>
      <c r="F1" s="63"/>
      <c r="G1" s="63"/>
      <c r="H1" s="63"/>
    </row>
    <row r="2" spans="1:8" ht="15.6">
      <c r="A2" s="2" t="s">
        <v>1</v>
      </c>
    </row>
    <row r="3" spans="1:8" ht="21.75" customHeight="1">
      <c r="A3" s="3" t="s">
        <v>2</v>
      </c>
      <c r="B3" s="3" t="s">
        <v>3</v>
      </c>
      <c r="C3" s="3" t="s">
        <v>4</v>
      </c>
      <c r="D3" s="3" t="s">
        <v>5</v>
      </c>
      <c r="E3" s="3" t="s">
        <v>6</v>
      </c>
      <c r="F3" s="3" t="s">
        <v>7</v>
      </c>
      <c r="G3" s="3" t="s">
        <v>8</v>
      </c>
    </row>
    <row r="4" spans="1:8">
      <c r="A4" s="4" t="s">
        <v>9</v>
      </c>
      <c r="B4" s="4">
        <f>COUNTIF(Risks!E4:E14,"Open")</f>
        <v>0</v>
      </c>
      <c r="C4" s="4">
        <f>COUNTIF(Risks!E4:E14,"In Progress")</f>
        <v>1</v>
      </c>
      <c r="D4" s="4">
        <f>COUNTIF(Risks!E4:E14,"Mitigated")</f>
        <v>10</v>
      </c>
      <c r="E4" s="4">
        <f>COUNTIF(Risks!E4:E14,"Closed")</f>
        <v>0</v>
      </c>
      <c r="F4" s="4">
        <f>COUNTIF(Risks!E4:E14,"Escalated")</f>
        <v>0</v>
      </c>
      <c r="G4" s="4">
        <f>SUM(B4:F4)</f>
        <v>11</v>
      </c>
    </row>
    <row r="5" spans="1:8">
      <c r="A5" s="5" t="s">
        <v>10</v>
      </c>
      <c r="B5" s="5">
        <f>COUNTIF(Assumptions!G4:G60,"Open")</f>
        <v>0</v>
      </c>
      <c r="C5" s="5">
        <f>COUNTIF(Assumptions!G4:G60,"In Progress")</f>
        <v>1</v>
      </c>
      <c r="D5" s="5">
        <f>COUNTIF(Assumptions!G4:G60,"Mitigated")</f>
        <v>0</v>
      </c>
      <c r="E5" s="5">
        <f>COUNTIF(Assumptions!G4:G60,"Closed")</f>
        <v>0</v>
      </c>
      <c r="F5" s="5">
        <f>COUNTIF(Assumptions!G4:G60,"Escalated")</f>
        <v>0</v>
      </c>
      <c r="G5" s="5">
        <f>SUM(B5:F5)</f>
        <v>1</v>
      </c>
    </row>
    <row r="6" spans="1:8">
      <c r="A6" s="4" t="s">
        <v>11</v>
      </c>
      <c r="B6" s="4">
        <f>COUNTIF(Issues!I4:I60,"Open")</f>
        <v>0</v>
      </c>
      <c r="C6" s="4">
        <f>COUNTIF(Issues!I4:I60,"In Progress")</f>
        <v>1</v>
      </c>
      <c r="D6" s="4">
        <f>COUNTIF(Issues!I4:I60,"Mitigated")</f>
        <v>0</v>
      </c>
      <c r="E6" s="4">
        <f>COUNTIF(Issues!I4:I60,"Closed")</f>
        <v>1</v>
      </c>
      <c r="F6" s="4">
        <f>COUNTIF(Issues!I4:I60,"Escalated")</f>
        <v>0</v>
      </c>
      <c r="G6" s="4">
        <f>SUM(B6:F6)</f>
        <v>2</v>
      </c>
    </row>
    <row r="7" spans="1:8">
      <c r="A7" s="5" t="s">
        <v>12</v>
      </c>
      <c r="B7" s="5">
        <f>COUNTIF(Dependencies!H4:H54,"Open")</f>
        <v>0</v>
      </c>
      <c r="C7" s="5">
        <f>COUNTIF(Dependencies!H4:H54,"In Progress")</f>
        <v>5</v>
      </c>
      <c r="D7" s="5">
        <f>COUNTIF(Dependencies!H4:H54,"Mitigated")</f>
        <v>1</v>
      </c>
      <c r="E7" s="5">
        <f>COUNTIF(Dependencies!H4:H54,"Closed")</f>
        <v>1</v>
      </c>
      <c r="F7" s="5">
        <f>COUNTIF(Dependencies!H4:H54,"Escalated")</f>
        <v>0</v>
      </c>
      <c r="G7" s="5">
        <f>SUM(B7:F7)</f>
        <v>7</v>
      </c>
    </row>
    <row r="8" spans="1:8">
      <c r="A8" s="6" t="s">
        <v>8</v>
      </c>
      <c r="B8" s="6">
        <f t="shared" ref="B8:G8" si="0">SUM(B4:B7)</f>
        <v>0</v>
      </c>
      <c r="C8" s="6">
        <f t="shared" si="0"/>
        <v>8</v>
      </c>
      <c r="D8" s="6">
        <f t="shared" si="0"/>
        <v>11</v>
      </c>
      <c r="E8" s="6">
        <f t="shared" si="0"/>
        <v>2</v>
      </c>
      <c r="F8" s="6">
        <f t="shared" si="0"/>
        <v>0</v>
      </c>
      <c r="G8" s="6">
        <f t="shared" si="0"/>
        <v>21</v>
      </c>
    </row>
    <row r="11" spans="1:8" ht="15.6">
      <c r="A11" s="2" t="s">
        <v>13</v>
      </c>
    </row>
    <row r="12" spans="1:8" ht="21.75" customHeight="1">
      <c r="A12" s="3" t="s">
        <v>14</v>
      </c>
      <c r="B12" s="3" t="s">
        <v>15</v>
      </c>
    </row>
    <row r="13" spans="1:8">
      <c r="A13" s="4" t="s">
        <v>16</v>
      </c>
      <c r="B13" s="4">
        <f>COUNTIFS(Risks!I4:I14,"Critical",Risks!E4:E14,"&lt;&gt;Closed",Risks!E4:E14,"&lt;&gt;Mitigated")</f>
        <v>1</v>
      </c>
    </row>
    <row r="14" spans="1:8">
      <c r="A14" s="5" t="s">
        <v>17</v>
      </c>
      <c r="B14" s="5">
        <f>COUNTIFS(Risks!I4:I14,"High",Risks!E4:E14,"&lt;&gt;Closed",Risks!E4:E14,"&lt;&gt;Mitigated")</f>
        <v>0</v>
      </c>
    </row>
    <row r="15" spans="1:8">
      <c r="A15" s="4" t="s">
        <v>18</v>
      </c>
      <c r="B15" s="4">
        <f>COUNTIFS(Risks!I4:I14,"Medium",Risks!E4:E14,"&lt;&gt;Closed",Risks!E4:E14,"&lt;&gt;Mitigated")</f>
        <v>0</v>
      </c>
    </row>
    <row r="16" spans="1:8">
      <c r="A16" s="5" t="s">
        <v>19</v>
      </c>
      <c r="B16" s="5">
        <f>COUNTIFS(Risks!I4:I14,"Low",Risks!E4:E14,"&lt;&gt;Closed",Risks!E4:E14,"&lt;&gt;Mitigated")</f>
        <v>0</v>
      </c>
    </row>
  </sheetData>
  <customSheetViews>
    <customSheetView guid="{4FF6BE25-937E-494D-AC54-A20606835592}" showGridLines="0">
      <selection activeCell="C14" sqref="C14"/>
      <pageMargins left="0" right="0" top="0" bottom="0" header="0" footer="0"/>
      <pageSetup paperSize="9" orientation="portrait" horizontalDpi="300" verticalDpi="300"/>
    </customSheetView>
  </customSheetViews>
  <mergeCells count="1">
    <mergeCell ref="A1:H1"/>
  </mergeCells>
  <conditionalFormatting sqref="A13:A16">
    <cfRule type="expression" dxfId="38" priority="2">
      <formula>A13="Critical"</formula>
    </cfRule>
    <cfRule type="expression" dxfId="37" priority="3">
      <formula>A13="High"</formula>
    </cfRule>
    <cfRule type="expression" dxfId="36" priority="4">
      <formula>A13="Medium"</formula>
    </cfRule>
    <cfRule type="expression" dxfId="35" priority="5">
      <formula>A13="Low"</formula>
    </cfRule>
  </conditionalFormatting>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P31"/>
  <sheetViews>
    <sheetView showGridLines="0" zoomScaleNormal="100" workbookViewId="0">
      <pane ySplit="3" topLeftCell="A24" activePane="bottomLeft" state="frozen"/>
      <selection pane="bottomLeft" activeCell="E35" sqref="E35"/>
    </sheetView>
  </sheetViews>
  <sheetFormatPr defaultColWidth="8.7109375" defaultRowHeight="14.45"/>
  <cols>
    <col min="1" max="2" width="10.7109375" customWidth="1"/>
    <col min="3" max="3" width="13.85546875" style="16" customWidth="1"/>
    <col min="4" max="4" width="32.28515625" customWidth="1"/>
    <col min="5" max="5" width="11" style="16" customWidth="1"/>
    <col min="6" max="6" width="14.28515625" style="16" bestFit="1" customWidth="1"/>
    <col min="7" max="7" width="11.28515625" style="16" bestFit="1" customWidth="1"/>
    <col min="8" max="8" width="12.28515625" hidden="1" customWidth="1"/>
    <col min="9" max="9" width="11" style="16" customWidth="1"/>
    <col min="10" max="10" width="14.7109375" style="16" customWidth="1"/>
    <col min="11" max="11" width="59.7109375" customWidth="1"/>
    <col min="12" max="12" width="32.7109375" customWidth="1"/>
    <col min="13" max="13" width="15.28515625" style="16" customWidth="1"/>
    <col min="14" max="14" width="19.85546875" style="16" customWidth="1"/>
    <col min="15" max="15" width="13.42578125" customWidth="1"/>
    <col min="16" max="16" width="30" customWidth="1"/>
  </cols>
  <sheetData>
    <row r="1" spans="1:16" ht="21">
      <c r="A1" s="11" t="s">
        <v>20</v>
      </c>
      <c r="B1" s="11"/>
      <c r="C1" s="26"/>
      <c r="D1" s="11"/>
      <c r="E1" s="26"/>
      <c r="F1" s="26"/>
      <c r="G1" s="26"/>
      <c r="H1" s="11"/>
      <c r="I1" s="26"/>
      <c r="J1" s="26"/>
      <c r="K1" s="11"/>
      <c r="L1" s="11"/>
      <c r="M1" s="26"/>
      <c r="N1" s="26"/>
      <c r="O1" s="11"/>
      <c r="P1" s="11"/>
    </row>
    <row r="2" spans="1:16">
      <c r="A2" s="1" t="s">
        <v>21</v>
      </c>
      <c r="B2" s="1"/>
      <c r="C2" s="27"/>
      <c r="D2" s="1"/>
      <c r="E2" s="27"/>
      <c r="F2" s="27"/>
      <c r="G2" s="27"/>
      <c r="H2" s="1"/>
      <c r="I2" s="27"/>
      <c r="J2" s="27"/>
      <c r="K2" s="1"/>
      <c r="L2" s="1"/>
      <c r="M2" s="27"/>
      <c r="N2" s="27"/>
      <c r="O2" s="1"/>
      <c r="P2" s="1"/>
    </row>
    <row r="3" spans="1:16">
      <c r="A3" s="50" t="s">
        <v>22</v>
      </c>
      <c r="B3" s="12" t="s">
        <v>23</v>
      </c>
      <c r="C3" s="12" t="s">
        <v>2</v>
      </c>
      <c r="D3" s="12" t="s">
        <v>24</v>
      </c>
      <c r="E3" s="12" t="s">
        <v>25</v>
      </c>
      <c r="F3" s="12" t="s">
        <v>26</v>
      </c>
      <c r="G3" s="12" t="s">
        <v>27</v>
      </c>
      <c r="H3" s="12" t="s">
        <v>28</v>
      </c>
      <c r="I3" s="12" t="s">
        <v>14</v>
      </c>
      <c r="J3" s="12" t="s">
        <v>29</v>
      </c>
      <c r="K3" s="12" t="s">
        <v>30</v>
      </c>
      <c r="L3" s="12" t="s">
        <v>31</v>
      </c>
      <c r="M3" s="12" t="s">
        <v>32</v>
      </c>
      <c r="N3" s="12" t="s">
        <v>33</v>
      </c>
      <c r="O3" s="12" t="s">
        <v>34</v>
      </c>
      <c r="P3" s="13" t="s">
        <v>35</v>
      </c>
    </row>
    <row r="4" spans="1:16" ht="52.9" hidden="1">
      <c r="A4" s="51" t="s">
        <v>36</v>
      </c>
      <c r="B4" s="37" t="s">
        <v>37</v>
      </c>
      <c r="C4" s="42" t="s">
        <v>38</v>
      </c>
      <c r="D4" s="39" t="s">
        <v>39</v>
      </c>
      <c r="E4" s="32" t="s">
        <v>4</v>
      </c>
      <c r="F4" s="38" t="s">
        <v>17</v>
      </c>
      <c r="G4" s="38" t="s">
        <v>17</v>
      </c>
      <c r="H4" s="40"/>
      <c r="I4" s="32" t="str" cm="1">
        <f t="array" ref="I4">_xlfn.LET( _xlpm.Score,_xlfn.SWITCH(F4,"High",3,"Medium",2,"Low",1)+_xlfn.SWITCH(G4,"High",3,"Medium",2,"Low",1),
_xlfn.IFS(
_xlpm.Score&lt;=2,"Low",
_xlpm.Score&lt;=5,"Medium",
_xlpm.Score=5,"High",
_xlpm.Score=6,"Critical"
)
)</f>
        <v>Critical</v>
      </c>
      <c r="J4" s="38" t="s">
        <v>40</v>
      </c>
      <c r="K4" s="39" t="s">
        <v>41</v>
      </c>
      <c r="L4" s="39"/>
      <c r="M4" s="43"/>
      <c r="N4" s="43"/>
      <c r="O4" s="45"/>
      <c r="P4" s="45"/>
    </row>
    <row r="5" spans="1:16" ht="79.900000000000006">
      <c r="A5" s="52" t="s">
        <v>42</v>
      </c>
      <c r="B5" s="9" t="s">
        <v>43</v>
      </c>
      <c r="C5" s="43" t="s">
        <v>44</v>
      </c>
      <c r="D5" s="5" t="s">
        <v>45</v>
      </c>
      <c r="E5" s="32" t="s">
        <v>5</v>
      </c>
      <c r="F5" s="28" t="s">
        <v>19</v>
      </c>
      <c r="G5" s="28" t="s">
        <v>17</v>
      </c>
      <c r="H5" s="33" t="s">
        <v>46</v>
      </c>
      <c r="I5" s="30" t="str" cm="1">
        <f t="array" ref="I5">_xlfn.LET( _xlpm.Score,_xlfn.SWITCH(F5,"High",3,"Medium",2,"Low",1)+_xlfn.SWITCH(G5,"High",3,"Medium",2,"Low",1),
_xlfn.IFS(
_xlpm.Score&lt;=2,"Low",
_xlpm.Score&lt;=5,"Medium",
_xlpm.Score=5,"High",
_xlpm.Score=6,"Critical"
)
)</f>
        <v>Medium</v>
      </c>
      <c r="J5" s="28" t="s">
        <v>47</v>
      </c>
      <c r="K5" s="5" t="s">
        <v>48</v>
      </c>
      <c r="L5" s="5" t="s">
        <v>49</v>
      </c>
      <c r="M5" s="15"/>
      <c r="N5" s="15"/>
      <c r="O5" s="10"/>
      <c r="P5" s="5"/>
    </row>
    <row r="6" spans="1:16" ht="93">
      <c r="A6" s="52" t="s">
        <v>50</v>
      </c>
      <c r="B6" s="29" t="s">
        <v>43</v>
      </c>
      <c r="C6" s="28" t="s">
        <v>44</v>
      </c>
      <c r="D6" s="31" t="s">
        <v>51</v>
      </c>
      <c r="E6" s="32" t="s">
        <v>5</v>
      </c>
      <c r="F6" s="30" t="s">
        <v>19</v>
      </c>
      <c r="G6" s="30" t="s">
        <v>17</v>
      </c>
      <c r="H6" s="33" t="s">
        <v>52</v>
      </c>
      <c r="I6" s="30" t="str" cm="1">
        <f t="array" ref="I6">_xlfn.LET( _xlpm.Score,_xlfn.SWITCH(F6,"High",3,"Medium",2,"Low",1)+_xlfn.SWITCH(G6,"High",3,"Medium",2,"Low",1),
_xlfn.IFS(
_xlpm.Score&lt;=2,"Low",
_xlpm.Score&lt;=5,"Medium",
_xlpm.Score=5,"High",
_xlpm.Score=6,"Critical"
)
)</f>
        <v>Medium</v>
      </c>
      <c r="J6" s="30" t="s">
        <v>47</v>
      </c>
      <c r="K6" s="31" t="s">
        <v>53</v>
      </c>
      <c r="L6" s="31" t="s">
        <v>54</v>
      </c>
      <c r="M6" s="34"/>
      <c r="N6" s="34"/>
      <c r="O6" s="35"/>
      <c r="P6" s="31"/>
    </row>
    <row r="7" spans="1:16" ht="106.15">
      <c r="A7" s="52" t="s">
        <v>55</v>
      </c>
      <c r="B7" s="9" t="s">
        <v>43</v>
      </c>
      <c r="C7" s="30" t="s">
        <v>44</v>
      </c>
      <c r="D7" s="5" t="s">
        <v>56</v>
      </c>
      <c r="E7" s="32" t="s">
        <v>5</v>
      </c>
      <c r="F7" s="28" t="s">
        <v>19</v>
      </c>
      <c r="G7" s="28" t="s">
        <v>17</v>
      </c>
      <c r="H7" s="33" t="s">
        <v>57</v>
      </c>
      <c r="I7" s="30" t="str" cm="1">
        <f t="array" ref="I7">_xlfn.LET( _xlpm.Score,_xlfn.SWITCH(F7,"High",3,"Medium",2,"Low",1)+_xlfn.SWITCH(G7,"High",3,"Medium",2,"Low",1),
_xlfn.IFS(
_xlpm.Score&lt;=2,"Low",
_xlpm.Score&lt;=5,"Medium",
_xlpm.Score=5,"High",
_xlpm.Score=6,"Critical"
)
)</f>
        <v>Medium</v>
      </c>
      <c r="J7" s="28" t="s">
        <v>47</v>
      </c>
      <c r="K7" s="5" t="s">
        <v>58</v>
      </c>
      <c r="L7" s="5" t="s">
        <v>59</v>
      </c>
      <c r="M7" s="34"/>
      <c r="N7" s="34"/>
      <c r="O7" s="35"/>
      <c r="P7" s="31"/>
    </row>
    <row r="8" spans="1:16" ht="79.900000000000006">
      <c r="A8" s="52" t="s">
        <v>60</v>
      </c>
      <c r="B8" s="29" t="s">
        <v>43</v>
      </c>
      <c r="C8" s="28" t="s">
        <v>61</v>
      </c>
      <c r="D8" s="31" t="s">
        <v>62</v>
      </c>
      <c r="E8" s="32" t="s">
        <v>5</v>
      </c>
      <c r="F8" s="30" t="s">
        <v>19</v>
      </c>
      <c r="G8" s="30" t="s">
        <v>18</v>
      </c>
      <c r="H8" s="33" t="s">
        <v>63</v>
      </c>
      <c r="I8" s="30" t="str" cm="1">
        <f t="array" ref="I8">_xlfn.LET( _xlpm.Score,_xlfn.SWITCH(F8,"High",3,"Medium",2,"Low",1)+_xlfn.SWITCH(G8,"High",3,"Medium",2,"Low",1),
_xlfn.IFS(
_xlpm.Score&lt;=2,"Low",
_xlpm.Score&lt;=5,"Medium",
_xlpm.Score=5,"High",
_xlpm.Score=6,"Critical"
)
)</f>
        <v>Medium</v>
      </c>
      <c r="J8" s="30" t="s">
        <v>47</v>
      </c>
      <c r="K8" s="31" t="s">
        <v>64</v>
      </c>
      <c r="L8" s="31" t="s">
        <v>65</v>
      </c>
      <c r="M8" s="15"/>
      <c r="N8" s="15"/>
      <c r="O8" s="10"/>
      <c r="P8" s="5"/>
    </row>
    <row r="9" spans="1:16" ht="66.599999999999994">
      <c r="A9" s="52" t="s">
        <v>66</v>
      </c>
      <c r="B9" s="9" t="s">
        <v>43</v>
      </c>
      <c r="C9" s="30" t="s">
        <v>67</v>
      </c>
      <c r="D9" s="5" t="s">
        <v>68</v>
      </c>
      <c r="E9" s="32" t="s">
        <v>5</v>
      </c>
      <c r="F9" s="28" t="s">
        <v>18</v>
      </c>
      <c r="G9" s="28" t="s">
        <v>18</v>
      </c>
      <c r="H9" s="33" t="s">
        <v>69</v>
      </c>
      <c r="I9" s="30" t="str" cm="1">
        <f t="array" ref="I9">_xlfn.LET( _xlpm.Score,_xlfn.SWITCH(F9,"High",3,"Medium",2,"Low",1)+_xlfn.SWITCH(G9,"High",3,"Medium",2,"Low",1),
_xlfn.IFS(
_xlpm.Score&lt;=2,"Low",
_xlpm.Score&lt;=5,"Medium",
_xlpm.Score=5,"High",
_xlpm.Score=6,"Critical"
)
)</f>
        <v>Medium</v>
      </c>
      <c r="J9" s="28" t="s">
        <v>47</v>
      </c>
      <c r="K9" s="5" t="s">
        <v>70</v>
      </c>
      <c r="L9" s="5" t="s">
        <v>71</v>
      </c>
      <c r="M9" s="34"/>
      <c r="N9" s="34"/>
      <c r="O9" s="35"/>
      <c r="P9" s="31"/>
    </row>
    <row r="10" spans="1:16" ht="66.599999999999994">
      <c r="A10" s="52" t="s">
        <v>72</v>
      </c>
      <c r="B10" s="29" t="s">
        <v>43</v>
      </c>
      <c r="C10" s="28" t="s">
        <v>67</v>
      </c>
      <c r="D10" s="31" t="s">
        <v>73</v>
      </c>
      <c r="E10" s="32" t="s">
        <v>5</v>
      </c>
      <c r="F10" s="30" t="s">
        <v>19</v>
      </c>
      <c r="G10" s="30" t="s">
        <v>18</v>
      </c>
      <c r="H10" s="33" t="s">
        <v>74</v>
      </c>
      <c r="I10" s="30" t="str" cm="1">
        <f t="array" ref="I10">_xlfn.LET( _xlpm.Score,_xlfn.SWITCH(F10,"High",3,"Medium",2,"Low",1)+_xlfn.SWITCH(G10,"High",3,"Medium",2,"Low",1),
_xlfn.IFS(
_xlpm.Score&lt;=2,"Low",
_xlpm.Score&lt;=5,"Medium",
_xlpm.Score=5,"High",
_xlpm.Score=6,"Critical"
)
)</f>
        <v>Medium</v>
      </c>
      <c r="J10" s="30" t="s">
        <v>47</v>
      </c>
      <c r="K10" s="31" t="s">
        <v>75</v>
      </c>
      <c r="L10" s="31" t="s">
        <v>76</v>
      </c>
      <c r="M10" s="15"/>
      <c r="N10" s="15"/>
      <c r="O10" s="10"/>
      <c r="P10" s="5"/>
    </row>
    <row r="11" spans="1:16" ht="66.599999999999994">
      <c r="A11" s="52" t="s">
        <v>77</v>
      </c>
      <c r="B11" s="9" t="s">
        <v>43</v>
      </c>
      <c r="C11" s="30" t="s">
        <v>78</v>
      </c>
      <c r="D11" s="5" t="s">
        <v>79</v>
      </c>
      <c r="E11" s="32" t="s">
        <v>5</v>
      </c>
      <c r="F11" s="28" t="s">
        <v>18</v>
      </c>
      <c r="G11" s="28" t="s">
        <v>18</v>
      </c>
      <c r="H11" s="33" t="s">
        <v>80</v>
      </c>
      <c r="I11" s="30" t="str" cm="1">
        <f t="array" ref="I11">_xlfn.LET( _xlpm.Score,_xlfn.SWITCH(F11,"High",3,"Medium",2,"Low",1)+_xlfn.SWITCH(G11,"High",3,"Medium",2,"Low",1),
_xlfn.IFS(
_xlpm.Score&lt;=2,"Low",
_xlpm.Score&lt;=5,"Medium",
_xlpm.Score=5,"High",
_xlpm.Score=6,"Critical"
)
)</f>
        <v>Medium</v>
      </c>
      <c r="J11" s="28" t="s">
        <v>47</v>
      </c>
      <c r="K11" s="5" t="s">
        <v>81</v>
      </c>
      <c r="L11" s="5" t="s">
        <v>82</v>
      </c>
      <c r="M11" s="34"/>
      <c r="N11" s="34"/>
      <c r="O11" s="35"/>
      <c r="P11" s="31"/>
    </row>
    <row r="12" spans="1:16" ht="93">
      <c r="A12" s="52" t="s">
        <v>83</v>
      </c>
      <c r="B12" s="29" t="s">
        <v>43</v>
      </c>
      <c r="C12" s="28" t="s">
        <v>38</v>
      </c>
      <c r="D12" s="31" t="s">
        <v>84</v>
      </c>
      <c r="E12" s="32" t="s">
        <v>5</v>
      </c>
      <c r="F12" s="30" t="s">
        <v>19</v>
      </c>
      <c r="G12" s="30" t="s">
        <v>17</v>
      </c>
      <c r="H12" s="33" t="s">
        <v>85</v>
      </c>
      <c r="I12" s="30" t="str" cm="1">
        <f t="array" ref="I12">_xlfn.LET( _xlpm.Score,_xlfn.SWITCH(F12,"High",3,"Medium",2,"Low",1)+_xlfn.SWITCH(G12,"High",3,"Medium",2,"Low",1),
_xlfn.IFS(
_xlpm.Score&lt;=2,"Low",
_xlpm.Score&lt;=5,"Medium",
_xlpm.Score=5,"High",
_xlpm.Score=6,"Critical"
)
)</f>
        <v>Medium</v>
      </c>
      <c r="J12" s="30" t="s">
        <v>47</v>
      </c>
      <c r="K12" s="31" t="s">
        <v>86</v>
      </c>
      <c r="L12" s="31" t="s">
        <v>87</v>
      </c>
      <c r="M12" s="15"/>
      <c r="N12" s="15"/>
      <c r="O12" s="10"/>
      <c r="P12" s="5"/>
    </row>
    <row r="13" spans="1:16" ht="79.900000000000006">
      <c r="A13" s="52" t="s">
        <v>88</v>
      </c>
      <c r="B13" s="9" t="s">
        <v>43</v>
      </c>
      <c r="C13" s="30" t="s">
        <v>38</v>
      </c>
      <c r="D13" s="5" t="s">
        <v>89</v>
      </c>
      <c r="E13" s="32" t="s">
        <v>5</v>
      </c>
      <c r="F13" s="28" t="s">
        <v>19</v>
      </c>
      <c r="G13" s="28" t="s">
        <v>17</v>
      </c>
      <c r="H13" s="33" t="s">
        <v>90</v>
      </c>
      <c r="I13" s="30" t="str" cm="1">
        <f t="array" ref="I13">_xlfn.LET( _xlpm.Score,_xlfn.SWITCH(F13,"High",3,"Medium",2,"Low",1)+_xlfn.SWITCH(G13,"High",3,"Medium",2,"Low",1),
_xlfn.IFS(
_xlpm.Score&lt;=2,"Low",
_xlpm.Score&lt;=5,"Medium",
_xlpm.Score=5,"High",
_xlpm.Score=6,"Critical"
)
)</f>
        <v>Medium</v>
      </c>
      <c r="J13" s="28" t="s">
        <v>47</v>
      </c>
      <c r="K13" s="5" t="s">
        <v>91</v>
      </c>
      <c r="L13" s="5" t="s">
        <v>92</v>
      </c>
      <c r="M13" s="34"/>
      <c r="N13" s="34"/>
      <c r="O13" s="35"/>
      <c r="P13" s="31"/>
    </row>
    <row r="14" spans="1:16" ht="79.900000000000006">
      <c r="A14" s="52" t="s">
        <v>93</v>
      </c>
      <c r="B14" s="29" t="s">
        <v>43</v>
      </c>
      <c r="C14" s="28" t="s">
        <v>38</v>
      </c>
      <c r="D14" s="31" t="s">
        <v>94</v>
      </c>
      <c r="E14" s="32" t="s">
        <v>5</v>
      </c>
      <c r="F14" s="30" t="s">
        <v>19</v>
      </c>
      <c r="G14" s="30" t="s">
        <v>18</v>
      </c>
      <c r="H14" s="33" t="s">
        <v>95</v>
      </c>
      <c r="I14" s="30" t="str" cm="1">
        <f t="array" ref="I14">_xlfn.LET( _xlpm.Score,_xlfn.SWITCH(F14,"High",3,"Medium",2,"Low",1)+_xlfn.SWITCH(G14,"High",3,"Medium",2,"Low",1),
_xlfn.IFS(
_xlpm.Score&lt;=2,"Low",
_xlpm.Score&lt;=5,"Medium",
_xlpm.Score=5,"High",
_xlpm.Score=6,"Critical"
)
)</f>
        <v>Medium</v>
      </c>
      <c r="J14" s="30" t="s">
        <v>47</v>
      </c>
      <c r="K14" s="31" t="s">
        <v>96</v>
      </c>
      <c r="L14" s="31" t="s">
        <v>97</v>
      </c>
      <c r="M14" s="34"/>
      <c r="N14" s="34"/>
      <c r="O14" s="35"/>
      <c r="P14" s="31"/>
    </row>
    <row r="15" spans="1:16" ht="106.15">
      <c r="A15" s="52" t="s">
        <v>98</v>
      </c>
      <c r="B15" s="9" t="s">
        <v>43</v>
      </c>
      <c r="C15" s="30" t="s">
        <v>67</v>
      </c>
      <c r="D15" s="5" t="s">
        <v>99</v>
      </c>
      <c r="E15" s="32" t="s">
        <v>5</v>
      </c>
      <c r="F15" s="28" t="s">
        <v>19</v>
      </c>
      <c r="G15" s="28" t="s">
        <v>18</v>
      </c>
      <c r="H15" s="33" t="s">
        <v>100</v>
      </c>
      <c r="I15" s="30" t="str" cm="1">
        <f t="array" ref="I15">_xlfn.LET( _xlpm.Score,_xlfn.SWITCH(F15,"High",3,"Medium",2,"Low",1)+_xlfn.SWITCH(G15,"High",3,"Medium",2,"Low",1),
_xlfn.IFS(
_xlpm.Score&lt;=2,"Low",
_xlpm.Score&lt;=5,"Medium",
_xlpm.Score=5,"High",
_xlpm.Score=6,"Critical"
)
)</f>
        <v>Medium</v>
      </c>
      <c r="J15" s="28" t="s">
        <v>47</v>
      </c>
      <c r="K15" s="5" t="s">
        <v>101</v>
      </c>
      <c r="L15" s="5" t="s">
        <v>102</v>
      </c>
      <c r="M15" s="34"/>
      <c r="N15" s="34"/>
      <c r="O15" s="35"/>
      <c r="P15" s="31"/>
    </row>
    <row r="16" spans="1:16" ht="106.15">
      <c r="A16" s="52" t="s">
        <v>103</v>
      </c>
      <c r="B16" s="29" t="s">
        <v>43</v>
      </c>
      <c r="C16" s="28" t="s">
        <v>44</v>
      </c>
      <c r="D16" s="31" t="s">
        <v>104</v>
      </c>
      <c r="E16" s="32" t="s">
        <v>5</v>
      </c>
      <c r="F16" s="30" t="s">
        <v>19</v>
      </c>
      <c r="G16" s="30" t="s">
        <v>19</v>
      </c>
      <c r="H16" s="33" t="s">
        <v>100</v>
      </c>
      <c r="I16" s="30" t="str" cm="1">
        <f t="array" ref="I16">_xlfn.LET( _xlpm.Score,_xlfn.SWITCH(F16,"High",3,"Medium",2,"Low",1)+_xlfn.SWITCH(G16,"High",3,"Medium",2,"Low",1),
_xlfn.IFS(
_xlpm.Score&lt;=2,"Low",
_xlpm.Score&lt;=5,"Medium",
_xlpm.Score=5,"High",
_xlpm.Score=6,"Critical"
)
)</f>
        <v>Low</v>
      </c>
      <c r="J16" s="30" t="s">
        <v>47</v>
      </c>
      <c r="K16" s="31" t="s">
        <v>105</v>
      </c>
      <c r="L16" s="31" t="s">
        <v>106</v>
      </c>
      <c r="M16" s="34"/>
      <c r="N16" s="34"/>
      <c r="O16" s="35"/>
      <c r="P16" s="31"/>
    </row>
    <row r="17" spans="1:16" ht="59.25" customHeight="1">
      <c r="A17" s="52" t="s">
        <v>107</v>
      </c>
      <c r="B17" s="9" t="s">
        <v>43</v>
      </c>
      <c r="C17" s="30" t="s">
        <v>44</v>
      </c>
      <c r="D17" s="5" t="s">
        <v>108</v>
      </c>
      <c r="E17" s="32" t="s">
        <v>5</v>
      </c>
      <c r="F17" s="28" t="s">
        <v>19</v>
      </c>
      <c r="G17" s="28" t="s">
        <v>18</v>
      </c>
      <c r="H17" s="33" t="s">
        <v>100</v>
      </c>
      <c r="I17" s="30" t="str" cm="1">
        <f t="array" ref="I17">_xlfn.LET( _xlpm.Score,_xlfn.SWITCH(F17,"High",3,"Medium",2,"Low",1)+_xlfn.SWITCH(G17,"High",3,"Medium",2,"Low",1),
_xlfn.IFS(
_xlpm.Score&lt;=2,"Low",
_xlpm.Score&lt;=5,"Medium",
_xlpm.Score=5,"High",
_xlpm.Score=6,"Critical"
)
)</f>
        <v>Medium</v>
      </c>
      <c r="J17" s="28" t="s">
        <v>47</v>
      </c>
      <c r="K17" s="5" t="s">
        <v>109</v>
      </c>
      <c r="L17" s="5" t="s">
        <v>110</v>
      </c>
      <c r="M17" s="46"/>
      <c r="N17" s="46"/>
      <c r="O17" s="48"/>
      <c r="P17" s="49"/>
    </row>
    <row r="18" spans="1:16" ht="39.6">
      <c r="A18" s="52" t="s">
        <v>111</v>
      </c>
      <c r="B18" s="29" t="s">
        <v>43</v>
      </c>
      <c r="C18" s="28" t="s">
        <v>44</v>
      </c>
      <c r="D18" s="31" t="s">
        <v>112</v>
      </c>
      <c r="E18" s="32" t="s">
        <v>5</v>
      </c>
      <c r="F18" s="30" t="s">
        <v>18</v>
      </c>
      <c r="G18" s="30" t="s">
        <v>18</v>
      </c>
      <c r="H18" s="33"/>
      <c r="I18" s="30" t="str" cm="1">
        <f t="array" ref="I18">_xlfn.LET( _xlpm.Score,_xlfn.SWITCH(F18,"High",3,"Medium",2,"Low",1)+_xlfn.SWITCH(G18,"High",3,"Medium",2,"Low",1),
_xlfn.IFS(
_xlpm.Score&lt;=2,"Low",
_xlpm.Score&lt;=5,"Medium",
_xlpm.Score=5,"High",
_xlpm.Score=6,"Critical"
)
)</f>
        <v>Medium</v>
      </c>
      <c r="J18" s="30" t="s">
        <v>113</v>
      </c>
      <c r="K18" s="31" t="s">
        <v>114</v>
      </c>
      <c r="L18" s="31" t="s">
        <v>115</v>
      </c>
      <c r="M18"/>
      <c r="N18"/>
    </row>
    <row r="19" spans="1:16" ht="54.75" customHeight="1">
      <c r="A19" s="52" t="s">
        <v>116</v>
      </c>
      <c r="B19" s="9" t="s">
        <v>43</v>
      </c>
      <c r="C19" s="30" t="s">
        <v>44</v>
      </c>
      <c r="D19" s="5" t="s">
        <v>117</v>
      </c>
      <c r="E19" s="32" t="s">
        <v>5</v>
      </c>
      <c r="F19" s="28" t="s">
        <v>19</v>
      </c>
      <c r="G19" s="28" t="s">
        <v>17</v>
      </c>
      <c r="H19" s="33"/>
      <c r="I19" s="30" t="str" cm="1">
        <f t="array" ref="I19">_xlfn.LET( _xlpm.Score,_xlfn.SWITCH(F19,"High",3,"Medium",2,"Low",1)+_xlfn.SWITCH(G19,"High",3,"Medium",2,"Low",1),
_xlfn.IFS(
_xlpm.Score&lt;=2,"Low",
_xlpm.Score&lt;=5,"Medium",
_xlpm.Score=5,"High",
_xlpm.Score=6,"Critical"
)
)</f>
        <v>Medium</v>
      </c>
      <c r="J19" s="28" t="s">
        <v>113</v>
      </c>
      <c r="K19" s="5" t="s">
        <v>118</v>
      </c>
      <c r="L19" s="5" t="s">
        <v>119</v>
      </c>
      <c r="M19"/>
      <c r="N19"/>
    </row>
    <row r="20" spans="1:16" ht="39.6">
      <c r="A20" s="52" t="s">
        <v>120</v>
      </c>
      <c r="B20" s="29" t="s">
        <v>43</v>
      </c>
      <c r="C20" s="28" t="s">
        <v>61</v>
      </c>
      <c r="D20" s="31" t="s">
        <v>121</v>
      </c>
      <c r="E20" s="32" t="s">
        <v>5</v>
      </c>
      <c r="F20" s="30" t="s">
        <v>19</v>
      </c>
      <c r="G20" s="30" t="s">
        <v>17</v>
      </c>
      <c r="H20" s="33"/>
      <c r="I20" s="30" t="str" cm="1">
        <f t="array" ref="I20">_xlfn.LET( _xlpm.Score,_xlfn.SWITCH(F20,"High",3,"Medium",2,"Low",1)+_xlfn.SWITCH(G20,"High",3,"Medium",2,"Low",1),
_xlfn.IFS(
_xlpm.Score&lt;=2,"Low",
_xlpm.Score&lt;=5,"Medium",
_xlpm.Score=5,"High",
_xlpm.Score=6,"Critical"
)
)</f>
        <v>Medium</v>
      </c>
      <c r="J20" s="30" t="s">
        <v>113</v>
      </c>
      <c r="K20" s="31" t="s">
        <v>122</v>
      </c>
      <c r="L20" s="31" t="s">
        <v>123</v>
      </c>
      <c r="M20" s="45"/>
      <c r="N20" s="45"/>
      <c r="O20" s="45"/>
      <c r="P20" s="45"/>
    </row>
    <row r="21" spans="1:16" ht="39.6">
      <c r="A21" s="52" t="s">
        <v>124</v>
      </c>
      <c r="B21" s="9" t="s">
        <v>43</v>
      </c>
      <c r="C21" s="30" t="s">
        <v>61</v>
      </c>
      <c r="D21" s="5" t="s">
        <v>125</v>
      </c>
      <c r="E21" s="32" t="s">
        <v>5</v>
      </c>
      <c r="F21" s="28" t="s">
        <v>19</v>
      </c>
      <c r="G21" s="28" t="s">
        <v>17</v>
      </c>
      <c r="H21" s="33" t="str">
        <f>IFERROR(VLOOKUP(F21,LikelihoodScore,2,0)*VLOOKUP(G21,ImpactScore,2,0),"")</f>
        <v/>
      </c>
      <c r="I21" s="30" t="str" cm="1">
        <f t="array" ref="I21">_xlfn.LET( _xlpm.Score,_xlfn.SWITCH(F21,"High",3,"Medium",2,"Low",1)+_xlfn.SWITCH(G21,"High",3,"Medium",2,"Low",1),
_xlfn.IFS(
_xlpm.Score&lt;=2,"Low",
_xlpm.Score&lt;=5,"Medium",
_xlpm.Score=5,"High",
_xlpm.Score=6,"Critical"
)
)</f>
        <v>Medium</v>
      </c>
      <c r="J21" s="28" t="s">
        <v>47</v>
      </c>
      <c r="K21" s="5" t="s">
        <v>126</v>
      </c>
      <c r="L21" s="5" t="s">
        <v>127</v>
      </c>
      <c r="M21" s="44"/>
      <c r="N21" s="47"/>
      <c r="O21" s="47"/>
      <c r="P21" s="47"/>
    </row>
    <row r="22" spans="1:16" ht="39.6">
      <c r="A22" s="52" t="s">
        <v>128</v>
      </c>
      <c r="B22" s="29" t="s">
        <v>43</v>
      </c>
      <c r="C22" s="28" t="s">
        <v>61</v>
      </c>
      <c r="D22" s="31" t="s">
        <v>129</v>
      </c>
      <c r="E22" s="32" t="s">
        <v>5</v>
      </c>
      <c r="F22" s="30" t="s">
        <v>19</v>
      </c>
      <c r="G22" s="30" t="s">
        <v>17</v>
      </c>
      <c r="H22" s="33"/>
      <c r="I22" s="30" t="str" cm="1">
        <f t="array" ref="I22">_xlfn.LET( _xlpm.Score,_xlfn.SWITCH(F22,"High",3,"Medium",2,"Low",1)+_xlfn.SWITCH(G22,"High",3,"Medium",2,"Low",1),
_xlfn.IFS(
_xlpm.Score&lt;=2,"Low",
_xlpm.Score&lt;=5,"Medium",
_xlpm.Score=5,"High",
_xlpm.Score=6,"Critical"
)
)</f>
        <v>Medium</v>
      </c>
      <c r="J22" s="30" t="s">
        <v>47</v>
      </c>
      <c r="K22" s="31" t="s">
        <v>130</v>
      </c>
      <c r="L22" s="31" t="s">
        <v>131</v>
      </c>
    </row>
    <row r="23" spans="1:16" ht="26.45">
      <c r="A23" s="52" t="s">
        <v>132</v>
      </c>
      <c r="B23" s="29" t="s">
        <v>43</v>
      </c>
      <c r="C23" s="30" t="s">
        <v>61</v>
      </c>
      <c r="D23" s="31" t="s">
        <v>133</v>
      </c>
      <c r="E23" s="32" t="s">
        <v>5</v>
      </c>
      <c r="F23" s="30" t="s">
        <v>19</v>
      </c>
      <c r="G23" s="30" t="s">
        <v>17</v>
      </c>
      <c r="H23" s="33"/>
      <c r="I23" s="30" t="str" cm="1">
        <f t="array" ref="I23">_xlfn.LET( _xlpm.Score,_xlfn.SWITCH(F23,"High",3,"Medium",2,"Low",1)+_xlfn.SWITCH(G23,"High",3,"Medium",2,"Low",1),
_xlfn.IFS(
_xlpm.Score&lt;=2,"Low",
_xlpm.Score&lt;=5,"Medium",
_xlpm.Score=5,"High",
_xlpm.Score=6,"Critical"
)
)</f>
        <v>Medium</v>
      </c>
      <c r="J23" s="30" t="s">
        <v>134</v>
      </c>
      <c r="K23" s="31" t="s">
        <v>135</v>
      </c>
      <c r="L23" s="31" t="s">
        <v>136</v>
      </c>
    </row>
    <row r="24" spans="1:16" ht="118.9">
      <c r="A24" s="51" t="s">
        <v>36</v>
      </c>
      <c r="B24" s="37" t="s">
        <v>43</v>
      </c>
      <c r="C24" s="30" t="s">
        <v>61</v>
      </c>
      <c r="D24" s="39" t="s">
        <v>137</v>
      </c>
      <c r="E24" s="32" t="s">
        <v>4</v>
      </c>
      <c r="F24" s="38" t="s">
        <v>18</v>
      </c>
      <c r="G24" s="38" t="s">
        <v>17</v>
      </c>
      <c r="H24" s="40" t="str">
        <f>IFERROR(VLOOKUP(F24,LikelihoodScore,2,0)*VLOOKUP(G24,ImpactScore,2,0),"")</f>
        <v/>
      </c>
      <c r="I24" s="32" t="str" cm="1">
        <f t="array" ref="I24">_xlfn.LET( _xlpm.Score,_xlfn.SWITCH(F24,"High",3,"Medium",2,"Low",1)+_xlfn.SWITCH(G24,"High",3,"Medium",2,"Low",1),
_xlfn.IFS(
_xlpm.Score&lt;=2,"Low",
_xlpm.Score&lt;=5,"Medium",
_xlpm.Score=5,"High",
_xlpm.Score=6,"Critical"
)
)</f>
        <v>Medium</v>
      </c>
      <c r="J24" s="38" t="s">
        <v>138</v>
      </c>
      <c r="K24" s="39" t="s">
        <v>139</v>
      </c>
      <c r="L24" s="39" t="s">
        <v>140</v>
      </c>
    </row>
    <row r="25" spans="1:16" ht="26.45" hidden="1">
      <c r="A25" s="51" t="s">
        <v>141</v>
      </c>
      <c r="B25" s="53" t="s">
        <v>142</v>
      </c>
      <c r="C25" s="30" t="s">
        <v>143</v>
      </c>
      <c r="D25" s="54" t="s">
        <v>144</v>
      </c>
      <c r="E25" s="32" t="s">
        <v>4</v>
      </c>
      <c r="F25" s="38" t="s">
        <v>18</v>
      </c>
      <c r="G25" s="38" t="s">
        <v>17</v>
      </c>
      <c r="H25" s="33"/>
      <c r="I25" s="30" t="str" cm="1">
        <f t="array" ref="I25">_xlfn.LET( _xlpm.Score,_xlfn.SWITCH(F25,"High",3,"Medium",2,"Low",1)+_xlfn.SWITCH(G25,"High",3,"Medium",2,"Low",1),
_xlfn.IFS(
_xlpm.Score&lt;=2,"Low",
_xlpm.Score&lt;=5,"Medium",
_xlpm.Score=5,"High",
_xlpm.Score=6,"Critical"
)
)</f>
        <v>Medium</v>
      </c>
      <c r="J25" s="55" t="s">
        <v>145</v>
      </c>
      <c r="K25" s="54"/>
      <c r="L25" s="54"/>
    </row>
    <row r="26" spans="1:16" ht="26.45" hidden="1">
      <c r="A26" s="51" t="s">
        <v>146</v>
      </c>
      <c r="B26" s="53" t="s">
        <v>142</v>
      </c>
      <c r="C26" s="30" t="s">
        <v>143</v>
      </c>
      <c r="D26" s="54" t="s">
        <v>147</v>
      </c>
      <c r="E26" s="32" t="s">
        <v>4</v>
      </c>
      <c r="F26" s="38" t="s">
        <v>18</v>
      </c>
      <c r="G26" s="38" t="s">
        <v>17</v>
      </c>
      <c r="H26" s="33"/>
      <c r="I26" s="30" t="str" cm="1">
        <f t="array" ref="I26">_xlfn.LET( _xlpm.Score,_xlfn.SWITCH(F26,"High",3,"Medium",2,"Low",1)+_xlfn.SWITCH(G26,"High",3,"Medium",2,"Low",1),
_xlfn.IFS(
_xlpm.Score&lt;=2,"Low",
_xlpm.Score&lt;=5,"Medium",
_xlpm.Score=5,"High",
_xlpm.Score=6,"Critical"
)
)</f>
        <v>Medium</v>
      </c>
      <c r="J26" s="55" t="s">
        <v>145</v>
      </c>
      <c r="K26" s="54"/>
      <c r="L26" s="54"/>
    </row>
    <row r="27" spans="1:16" ht="15" hidden="1">
      <c r="A27" s="52" t="s">
        <v>148</v>
      </c>
      <c r="B27" s="5" t="s">
        <v>149</v>
      </c>
      <c r="C27" s="30" t="s">
        <v>44</v>
      </c>
      <c r="D27" s="62" t="s">
        <v>150</v>
      </c>
      <c r="E27" s="32" t="s">
        <v>3</v>
      </c>
      <c r="F27" s="5" t="s">
        <v>18</v>
      </c>
      <c r="G27" s="5" t="s">
        <v>18</v>
      </c>
      <c r="H27" s="33" t="str">
        <f t="shared" ref="H27:H30" si="0">IFERROR(VLOOKUP(F27,LikelihoodScore,2,0)*VLOOKUP(G27,ImpactScore,2,0),"")</f>
        <v/>
      </c>
      <c r="I27" s="30" t="str" cm="1">
        <f t="array" ref="I27">_xlfn.LET( _xlpm.Score,_xlfn.SWITCH(F27,"High",3,"Medium",2,"Low",1)+_xlfn.SWITCH(G27,"High",3,"Medium",2,"Low",1),
_xlfn.IFS(
_xlpm.Score&lt;=2,"Low",
_xlpm.Score&lt;=5,"Medium",
_xlpm.Score=5,"High",
_xlpm.Score=6,"Critical"
)
)</f>
        <v>Medium</v>
      </c>
      <c r="J27" s="16" t="s">
        <v>151</v>
      </c>
      <c r="K27" t="s">
        <v>152</v>
      </c>
    </row>
    <row r="28" spans="1:16" ht="15" hidden="1">
      <c r="A28" s="52" t="s">
        <v>153</v>
      </c>
      <c r="B28" s="5" t="s">
        <v>149</v>
      </c>
      <c r="C28" s="30" t="s">
        <v>44</v>
      </c>
      <c r="D28" s="62" t="s">
        <v>154</v>
      </c>
      <c r="E28" s="32" t="s">
        <v>3</v>
      </c>
      <c r="F28" s="30" t="s">
        <v>19</v>
      </c>
      <c r="G28" s="30" t="s">
        <v>19</v>
      </c>
      <c r="H28" s="33" t="str">
        <f t="shared" ref="H28:H31" si="1">IFERROR(VLOOKUP(F28,LikelihoodScore,2,0)*VLOOKUP(G28,ImpactScore,2,0),"")</f>
        <v/>
      </c>
      <c r="I28" s="30" t="str" cm="1">
        <f t="array" ref="I28">_xlfn.LET( _xlpm.Score,_xlfn.SWITCH(F28,"High",3,"Medium",2,"Low",1)+_xlfn.SWITCH(G28,"High",3,"Medium",2,"Low",1),
_xlfn.IFS(
_xlpm.Score&lt;=2,"Low",
_xlpm.Score&lt;=5,"Medium",
_xlpm.Score=5,"High",
_xlpm.Score=6,"Critical"
)
)</f>
        <v>Low</v>
      </c>
      <c r="J28" s="16" t="s">
        <v>151</v>
      </c>
      <c r="K28" t="s">
        <v>155</v>
      </c>
    </row>
    <row r="29" spans="1:16" ht="15" hidden="1">
      <c r="A29" s="52" t="s">
        <v>156</v>
      </c>
      <c r="B29" s="5" t="s">
        <v>149</v>
      </c>
      <c r="C29" s="30" t="s">
        <v>44</v>
      </c>
      <c r="D29" s="62" t="s">
        <v>157</v>
      </c>
      <c r="E29" s="32" t="s">
        <v>3</v>
      </c>
      <c r="F29" s="30" t="s">
        <v>19</v>
      </c>
      <c r="G29" s="30" t="s">
        <v>19</v>
      </c>
      <c r="H29" s="33" t="str">
        <f t="shared" ref="H29:H30" si="2">IFERROR(VLOOKUP(F29,LikelihoodScore,2,0)*VLOOKUP(G29,ImpactScore,2,0),"")</f>
        <v/>
      </c>
      <c r="I29" s="30" t="str" cm="1">
        <f t="array" ref="I29">_xlfn.LET( _xlpm.Score,_xlfn.SWITCH(F29,"High",3,"Medium",2,"Low",1)+_xlfn.SWITCH(G29,"High",3,"Medium",2,"Low",1),
_xlfn.IFS(
_xlpm.Score&lt;=2,"Low",
_xlpm.Score&lt;=5,"Medium",
_xlpm.Score=5,"High",
_xlpm.Score=6,"Critical"
)
)</f>
        <v>Low</v>
      </c>
      <c r="J29" s="16" t="s">
        <v>151</v>
      </c>
      <c r="K29" t="s">
        <v>158</v>
      </c>
    </row>
    <row r="30" spans="1:16" ht="15" hidden="1">
      <c r="A30" s="52" t="s">
        <v>159</v>
      </c>
      <c r="B30" s="5" t="s">
        <v>149</v>
      </c>
      <c r="C30" s="30" t="s">
        <v>44</v>
      </c>
      <c r="D30" s="62" t="s">
        <v>160</v>
      </c>
      <c r="E30" s="32" t="s">
        <v>3</v>
      </c>
      <c r="F30" s="30" t="s">
        <v>19</v>
      </c>
      <c r="G30" s="30" t="s">
        <v>19</v>
      </c>
      <c r="H30" s="33" t="str">
        <f t="shared" ref="H30:H31" si="3">IFERROR(VLOOKUP(F30,LikelihoodScore,2,0)*VLOOKUP(G30,ImpactScore,2,0),"")</f>
        <v/>
      </c>
      <c r="I30" s="30" t="str" cm="1">
        <f t="array" ref="I30">_xlfn.LET( _xlpm.Score,_xlfn.SWITCH(F30,"High",3,"Medium",2,"Low",1)+_xlfn.SWITCH(G30,"High",3,"Medium",2,"Low",1),
_xlfn.IFS(
_xlpm.Score&lt;=2,"Low",
_xlpm.Score&lt;=5,"Medium",
_xlpm.Score=5,"High",
_xlpm.Score=6,"Critical"
)
)</f>
        <v>Low</v>
      </c>
      <c r="J30" s="16" t="s">
        <v>151</v>
      </c>
      <c r="K30" t="s">
        <v>161</v>
      </c>
    </row>
    <row r="31" spans="1:16" ht="15" hidden="1">
      <c r="A31" s="57" t="s">
        <v>162</v>
      </c>
      <c r="B31" s="61" t="s">
        <v>149</v>
      </c>
      <c r="C31" s="58" t="s">
        <v>44</v>
      </c>
      <c r="D31" s="62" t="s">
        <v>163</v>
      </c>
      <c r="E31" s="59" t="s">
        <v>3</v>
      </c>
      <c r="F31" s="58" t="s">
        <v>19</v>
      </c>
      <c r="G31" s="58" t="s">
        <v>19</v>
      </c>
      <c r="H31" s="60" t="str">
        <f t="shared" ref="H31" si="4">IFERROR(VLOOKUP(F31,LikelihoodScore,2,0)*VLOOKUP(G31,ImpactScore,2,0),"")</f>
        <v/>
      </c>
      <c r="I31" s="58" t="str" cm="1">
        <f t="array" ref="I31">_xlfn.LET( _xlpm.Score,_xlfn.SWITCH(F31,"High",3,"Medium",2,"Low",1)+_xlfn.SWITCH(G31,"High",3,"Medium",2,"Low",1),
_xlfn.IFS(
_xlpm.Score&lt;=2,"Low",
_xlpm.Score&lt;=5,"Medium",
_xlpm.Score=5,"High",
_xlpm.Score=6,"Critical"
)
)</f>
        <v>Low</v>
      </c>
      <c r="J31" s="16" t="s">
        <v>151</v>
      </c>
      <c r="K31" t="s">
        <v>164</v>
      </c>
    </row>
  </sheetData>
  <sortState xmlns:xlrd2="http://schemas.microsoft.com/office/spreadsheetml/2017/richdata2" ref="A4:P24">
    <sortCondition ref="B4:B24"/>
  </sortState>
  <customSheetViews>
    <customSheetView guid="{4FF6BE25-937E-494D-AC54-A20606835592}" showGridLines="0" hiddenColumns="1">
      <pane ySplit="3" topLeftCell="A4" activePane="bottomLeft" state="frozen"/>
      <selection pane="bottomLeft" activeCell="D4" sqref="D4"/>
      <pageMargins left="0" right="0" top="0" bottom="0" header="0" footer="0"/>
      <pageSetup paperSize="9" orientation="portrait" horizontalDpi="300" verticalDpi="300"/>
    </customSheetView>
  </customSheetViews>
  <phoneticPr fontId="10" type="noConversion"/>
  <conditionalFormatting sqref="E4:E31">
    <cfRule type="expression" dxfId="34" priority="7">
      <formula>E4="Open"</formula>
    </cfRule>
    <cfRule type="expression" dxfId="33" priority="8">
      <formula>E4="Escalated"</formula>
    </cfRule>
    <cfRule type="expression" dxfId="32" priority="9">
      <formula>E4="In Progress"</formula>
    </cfRule>
    <cfRule type="expression" dxfId="31" priority="10">
      <formula>E4="Mitigated"</formula>
    </cfRule>
    <cfRule type="expression" dxfId="30" priority="11">
      <formula>E4="Closed"</formula>
    </cfRule>
  </conditionalFormatting>
  <conditionalFormatting sqref="I4:I31">
    <cfRule type="expression" dxfId="29" priority="12">
      <formula>I4="Critical"</formula>
    </cfRule>
    <cfRule type="expression" dxfId="28" priority="13">
      <formula>I4="High"</formula>
    </cfRule>
    <cfRule type="expression" dxfId="27" priority="14">
      <formula>I4="Medium"</formula>
    </cfRule>
    <cfRule type="expression" dxfId="26" priority="15">
      <formula>I4="Low"</formula>
    </cfRule>
  </conditionalFormatting>
  <dataValidations count="5">
    <dataValidation type="list" allowBlank="1" sqref="F1:F18 F20:F1048576 G1:G1048576" xr:uid="{89A23861-D620-418D-84E0-088DF1141766}">
      <formula1>PriorityList</formula1>
    </dataValidation>
    <dataValidation type="list" allowBlank="1" sqref="H17:H19" xr:uid="{00000000-0002-0000-0500-000001000000}">
      <formula1>StatusList</formula1>
      <formula2>0</formula2>
    </dataValidation>
    <dataValidation type="list" allowBlank="1" sqref="C5:C27" xr:uid="{6B6AB916-F5AB-4342-8E09-34C72BFF7522}">
      <formula1>CategoryList</formula1>
    </dataValidation>
    <dataValidation type="list" allowBlank="1" sqref="E1:E1048576" xr:uid="{D9612AB7-E048-473B-A352-64AF12FFE749}">
      <formula1>StatusList</formula1>
    </dataValidation>
    <dataValidation type="list" allowBlank="1" showInputMessage="1" showErrorMessage="1" sqref="B1:B1048576" xr:uid="{F6A6DDC7-015F-48E1-9192-37B43F23EF1B}">
      <formula1>Track</formula1>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8F00"/>
  </sheetPr>
  <dimension ref="A1:K60"/>
  <sheetViews>
    <sheetView showGridLines="0" zoomScaleNormal="100" workbookViewId="0">
      <pane ySplit="3" topLeftCell="A4" activePane="bottomLeft" state="frozen"/>
      <selection pane="bottomLeft" activeCell="C4" sqref="C4"/>
    </sheetView>
  </sheetViews>
  <sheetFormatPr defaultColWidth="8.7109375" defaultRowHeight="14.45"/>
  <cols>
    <col min="1" max="1" width="13" customWidth="1"/>
    <col min="2" max="2" width="14" style="16" customWidth="1"/>
    <col min="3" max="3" width="36.85546875" customWidth="1"/>
    <col min="4" max="4" width="27.85546875" customWidth="1"/>
    <col min="5" max="5" width="10.42578125" style="16" customWidth="1"/>
    <col min="6" max="6" width="24.5703125" customWidth="1"/>
    <col min="7" max="7" width="12.5703125" style="16" customWidth="1"/>
    <col min="8" max="8" width="10.85546875" style="22" customWidth="1"/>
    <col min="9" max="9" width="17" customWidth="1"/>
    <col min="10" max="10" width="15" customWidth="1"/>
    <col min="11" max="11" width="30" customWidth="1"/>
  </cols>
  <sheetData>
    <row r="1" spans="1:11" ht="27.75" customHeight="1">
      <c r="A1" s="63" t="s">
        <v>165</v>
      </c>
      <c r="B1" s="63"/>
      <c r="C1" s="63"/>
      <c r="D1" s="63"/>
      <c r="E1" s="63"/>
      <c r="F1" s="63"/>
      <c r="G1" s="63"/>
      <c r="H1" s="63"/>
      <c r="I1" s="63"/>
      <c r="J1" s="63"/>
      <c r="K1" s="63"/>
    </row>
    <row r="2" spans="1:11" ht="15.75" customHeight="1">
      <c r="A2" s="66" t="s">
        <v>166</v>
      </c>
      <c r="B2" s="66"/>
      <c r="C2" s="66"/>
      <c r="D2" s="66"/>
      <c r="E2" s="66"/>
      <c r="F2" s="66"/>
      <c r="G2" s="66"/>
      <c r="H2" s="66"/>
      <c r="I2" s="66"/>
      <c r="J2" s="66"/>
      <c r="K2" s="66"/>
    </row>
    <row r="3" spans="1:11" ht="31.5" customHeight="1">
      <c r="A3" s="3" t="s">
        <v>167</v>
      </c>
      <c r="B3" s="3" t="s">
        <v>2</v>
      </c>
      <c r="C3" s="3" t="s">
        <v>168</v>
      </c>
      <c r="D3" s="3" t="s">
        <v>169</v>
      </c>
      <c r="E3" s="3" t="s">
        <v>29</v>
      </c>
      <c r="F3" s="3" t="s">
        <v>170</v>
      </c>
      <c r="G3" s="3" t="s">
        <v>25</v>
      </c>
      <c r="H3" s="19" t="s">
        <v>32</v>
      </c>
      <c r="I3" s="3" t="s">
        <v>171</v>
      </c>
      <c r="J3" s="3" t="s">
        <v>172</v>
      </c>
      <c r="K3" s="3" t="s">
        <v>35</v>
      </c>
    </row>
    <row r="4" spans="1:11" ht="60">
      <c r="A4" s="7" t="s">
        <v>173</v>
      </c>
      <c r="B4" s="36" t="s">
        <v>174</v>
      </c>
      <c r="C4" s="4" t="s">
        <v>175</v>
      </c>
      <c r="D4" s="4" t="s">
        <v>176</v>
      </c>
      <c r="E4" s="36" t="s">
        <v>113</v>
      </c>
      <c r="F4" s="4" t="s">
        <v>177</v>
      </c>
      <c r="G4" s="36" t="s">
        <v>4</v>
      </c>
      <c r="H4" s="20">
        <v>46241</v>
      </c>
      <c r="I4" s="20">
        <v>46242</v>
      </c>
      <c r="J4" s="8"/>
      <c r="K4" s="4"/>
    </row>
    <row r="5" spans="1:11" ht="15">
      <c r="A5" s="9"/>
      <c r="B5" s="28"/>
      <c r="C5" s="5"/>
      <c r="D5" s="5"/>
      <c r="E5" s="28"/>
      <c r="F5" s="5"/>
      <c r="G5" s="28"/>
      <c r="H5" s="21"/>
      <c r="I5" s="10"/>
      <c r="J5" s="10"/>
      <c r="K5" s="5"/>
    </row>
    <row r="6" spans="1:11" ht="15">
      <c r="A6" s="7"/>
      <c r="B6" s="36"/>
      <c r="C6" s="4"/>
      <c r="D6" s="4"/>
      <c r="E6" s="36"/>
      <c r="F6" s="4"/>
      <c r="G6" s="36"/>
      <c r="H6" s="20"/>
      <c r="I6" s="8"/>
      <c r="J6" s="8"/>
      <c r="K6" s="4"/>
    </row>
    <row r="7" spans="1:11" ht="15">
      <c r="A7" s="9"/>
      <c r="B7" s="28"/>
      <c r="C7" s="5"/>
      <c r="D7" s="5"/>
      <c r="E7" s="28"/>
      <c r="F7" s="5"/>
      <c r="G7" s="28"/>
      <c r="H7" s="21"/>
      <c r="I7" s="10"/>
      <c r="J7" s="10"/>
      <c r="K7" s="5"/>
    </row>
    <row r="8" spans="1:11" ht="15">
      <c r="A8" s="7"/>
      <c r="B8" s="36"/>
      <c r="C8" s="4"/>
      <c r="D8" s="4"/>
      <c r="E8" s="36"/>
      <c r="F8" s="4"/>
      <c r="G8" s="36"/>
      <c r="H8" s="20"/>
      <c r="I8" s="8"/>
      <c r="J8" s="8"/>
      <c r="K8" s="4"/>
    </row>
    <row r="9" spans="1:11" ht="15">
      <c r="A9" s="9"/>
      <c r="B9" s="28"/>
      <c r="C9" s="5"/>
      <c r="D9" s="5"/>
      <c r="E9" s="28"/>
      <c r="F9" s="5"/>
      <c r="G9" s="28"/>
      <c r="H9" s="21"/>
      <c r="I9" s="10"/>
      <c r="J9" s="10"/>
      <c r="K9" s="5"/>
    </row>
    <row r="10" spans="1:11" ht="15">
      <c r="A10" s="7"/>
      <c r="B10" s="36"/>
      <c r="C10" s="4"/>
      <c r="D10" s="4"/>
      <c r="E10" s="36"/>
      <c r="F10" s="4"/>
      <c r="G10" s="36"/>
      <c r="H10" s="20"/>
      <c r="I10" s="8"/>
      <c r="J10" s="8"/>
      <c r="K10" s="4"/>
    </row>
    <row r="11" spans="1:11" ht="15">
      <c r="A11" s="9"/>
      <c r="B11" s="28"/>
      <c r="C11" s="5"/>
      <c r="D11" s="5"/>
      <c r="E11" s="28"/>
      <c r="F11" s="5"/>
      <c r="G11" s="28"/>
      <c r="H11" s="21"/>
      <c r="I11" s="10"/>
      <c r="J11" s="10"/>
      <c r="K11" s="5"/>
    </row>
    <row r="12" spans="1:11" ht="15">
      <c r="A12" s="7"/>
      <c r="B12" s="36"/>
      <c r="C12" s="4"/>
      <c r="D12" s="4"/>
      <c r="E12" s="36"/>
      <c r="F12" s="4"/>
      <c r="G12" s="36"/>
      <c r="H12" s="20"/>
      <c r="I12" s="8"/>
      <c r="J12" s="8"/>
      <c r="K12" s="4"/>
    </row>
    <row r="13" spans="1:11" ht="15">
      <c r="A13" s="9"/>
      <c r="B13" s="28"/>
      <c r="C13" s="5"/>
      <c r="D13" s="5"/>
      <c r="E13" s="28"/>
      <c r="F13" s="5"/>
      <c r="G13" s="28"/>
      <c r="H13" s="21"/>
      <c r="I13" s="10"/>
      <c r="J13" s="10"/>
      <c r="K13" s="5"/>
    </row>
    <row r="14" spans="1:11" ht="15">
      <c r="A14" s="7"/>
      <c r="B14" s="36"/>
      <c r="C14" s="4"/>
      <c r="D14" s="4"/>
      <c r="E14" s="36"/>
      <c r="F14" s="4"/>
      <c r="G14" s="36"/>
      <c r="H14" s="20"/>
      <c r="I14" s="8"/>
      <c r="J14" s="8"/>
      <c r="K14" s="4"/>
    </row>
    <row r="15" spans="1:11" ht="15">
      <c r="A15" s="9"/>
      <c r="B15" s="28"/>
      <c r="C15" s="5"/>
      <c r="D15" s="5"/>
      <c r="E15" s="28"/>
      <c r="F15" s="5"/>
      <c r="G15" s="28"/>
      <c r="H15" s="21"/>
      <c r="I15" s="10"/>
      <c r="J15" s="10"/>
      <c r="K15" s="5"/>
    </row>
    <row r="16" spans="1:11" ht="15">
      <c r="A16" s="7"/>
      <c r="B16" s="36"/>
      <c r="C16" s="4"/>
      <c r="D16" s="4"/>
      <c r="E16" s="36"/>
      <c r="F16" s="4"/>
      <c r="G16" s="36"/>
      <c r="H16" s="20"/>
      <c r="I16" s="8"/>
      <c r="J16" s="8"/>
      <c r="K16" s="4"/>
    </row>
    <row r="17" spans="1:11" ht="15">
      <c r="A17" s="9"/>
      <c r="B17" s="28"/>
      <c r="C17" s="5"/>
      <c r="D17" s="5"/>
      <c r="E17" s="28"/>
      <c r="F17" s="5"/>
      <c r="G17" s="28"/>
      <c r="H17" s="21"/>
      <c r="I17" s="10"/>
      <c r="J17" s="10"/>
      <c r="K17" s="5"/>
    </row>
    <row r="18" spans="1:11" ht="15">
      <c r="A18" s="7"/>
      <c r="B18" s="36"/>
      <c r="C18" s="4"/>
      <c r="D18" s="4"/>
      <c r="E18" s="36"/>
      <c r="F18" s="4"/>
      <c r="G18" s="36"/>
      <c r="H18" s="20"/>
      <c r="I18" s="8"/>
      <c r="J18" s="8"/>
      <c r="K18" s="4"/>
    </row>
    <row r="19" spans="1:11" ht="15">
      <c r="A19" s="9"/>
      <c r="B19" s="28"/>
      <c r="C19" s="5"/>
      <c r="D19" s="5"/>
      <c r="E19" s="28"/>
      <c r="F19" s="5"/>
      <c r="G19" s="28"/>
      <c r="H19" s="21"/>
      <c r="I19" s="10"/>
      <c r="J19" s="10"/>
      <c r="K19" s="5"/>
    </row>
    <row r="20" spans="1:11" ht="15">
      <c r="A20" s="7"/>
      <c r="B20" s="36"/>
      <c r="C20" s="4"/>
      <c r="D20" s="4"/>
      <c r="E20" s="36"/>
      <c r="F20" s="4"/>
      <c r="G20" s="36"/>
      <c r="H20" s="20"/>
      <c r="I20" s="8"/>
      <c r="J20" s="8"/>
      <c r="K20" s="4"/>
    </row>
    <row r="21" spans="1:11" ht="15">
      <c r="A21" s="9"/>
      <c r="B21" s="28"/>
      <c r="C21" s="5"/>
      <c r="D21" s="5"/>
      <c r="E21" s="28"/>
      <c r="F21" s="5"/>
      <c r="G21" s="28"/>
      <c r="H21" s="21"/>
      <c r="I21" s="10"/>
      <c r="J21" s="10"/>
      <c r="K21" s="5"/>
    </row>
    <row r="22" spans="1:11" ht="15">
      <c r="A22" s="7"/>
      <c r="B22" s="36"/>
      <c r="C22" s="4"/>
      <c r="D22" s="4"/>
      <c r="E22" s="36"/>
      <c r="F22" s="4"/>
      <c r="G22" s="36"/>
      <c r="H22" s="20"/>
      <c r="I22" s="8"/>
      <c r="J22" s="8"/>
      <c r="K22" s="4"/>
    </row>
    <row r="23" spans="1:11" ht="15">
      <c r="A23" s="9"/>
      <c r="B23" s="28"/>
      <c r="C23" s="5"/>
      <c r="D23" s="5"/>
      <c r="E23" s="28"/>
      <c r="F23" s="5"/>
      <c r="G23" s="28"/>
      <c r="H23" s="21"/>
      <c r="I23" s="10"/>
      <c r="J23" s="10"/>
      <c r="K23" s="5"/>
    </row>
    <row r="24" spans="1:11" ht="15">
      <c r="A24" s="7"/>
      <c r="B24" s="36"/>
      <c r="C24" s="4"/>
      <c r="D24" s="4"/>
      <c r="E24" s="36"/>
      <c r="F24" s="4"/>
      <c r="G24" s="36"/>
      <c r="H24" s="20"/>
      <c r="I24" s="8"/>
      <c r="J24" s="8"/>
      <c r="K24" s="4"/>
    </row>
    <row r="25" spans="1:11" ht="15">
      <c r="A25" s="9"/>
      <c r="B25" s="28"/>
      <c r="C25" s="5"/>
      <c r="D25" s="5"/>
      <c r="E25" s="28"/>
      <c r="F25" s="5"/>
      <c r="G25" s="28"/>
      <c r="H25" s="21"/>
      <c r="I25" s="10"/>
      <c r="J25" s="10"/>
      <c r="K25" s="5"/>
    </row>
    <row r="26" spans="1:11" ht="15">
      <c r="A26" s="7"/>
      <c r="B26" s="36"/>
      <c r="C26" s="4"/>
      <c r="D26" s="4"/>
      <c r="E26" s="36"/>
      <c r="F26" s="4"/>
      <c r="G26" s="36"/>
      <c r="H26" s="20"/>
      <c r="I26" s="8"/>
      <c r="J26" s="8"/>
      <c r="K26" s="4"/>
    </row>
    <row r="27" spans="1:11" ht="15">
      <c r="A27" s="9"/>
      <c r="B27" s="28"/>
      <c r="C27" s="5"/>
      <c r="D27" s="5"/>
      <c r="E27" s="28"/>
      <c r="F27" s="5"/>
      <c r="G27" s="28"/>
      <c r="H27" s="21"/>
      <c r="I27" s="10"/>
      <c r="J27" s="10"/>
      <c r="K27" s="5"/>
    </row>
    <row r="28" spans="1:11" ht="15">
      <c r="A28" s="7"/>
      <c r="B28" s="36"/>
      <c r="C28" s="4"/>
      <c r="D28" s="4"/>
      <c r="E28" s="36"/>
      <c r="F28" s="4"/>
      <c r="G28" s="36"/>
      <c r="H28" s="20"/>
      <c r="I28" s="8"/>
      <c r="J28" s="8"/>
      <c r="K28" s="4"/>
    </row>
    <row r="29" spans="1:11" ht="15">
      <c r="A29" s="9"/>
      <c r="B29" s="28"/>
      <c r="C29" s="5"/>
      <c r="D29" s="5"/>
      <c r="E29" s="28"/>
      <c r="F29" s="5"/>
      <c r="G29" s="28"/>
      <c r="H29" s="21"/>
      <c r="I29" s="10"/>
      <c r="J29" s="10"/>
      <c r="K29" s="5"/>
    </row>
    <row r="30" spans="1:11" ht="15">
      <c r="A30" s="7"/>
      <c r="B30" s="36"/>
      <c r="C30" s="4"/>
      <c r="D30" s="4"/>
      <c r="E30" s="36"/>
      <c r="F30" s="4"/>
      <c r="G30" s="36"/>
      <c r="H30" s="20"/>
      <c r="I30" s="8"/>
      <c r="J30" s="8"/>
      <c r="K30" s="4"/>
    </row>
    <row r="31" spans="1:11" ht="15">
      <c r="A31" s="9"/>
      <c r="B31" s="28"/>
      <c r="C31" s="5"/>
      <c r="D31" s="5"/>
      <c r="E31" s="28"/>
      <c r="F31" s="5"/>
      <c r="G31" s="28"/>
      <c r="H31" s="21"/>
      <c r="I31" s="10"/>
      <c r="J31" s="10"/>
      <c r="K31" s="5"/>
    </row>
    <row r="32" spans="1:11" ht="15">
      <c r="A32" s="7"/>
      <c r="B32" s="36"/>
      <c r="C32" s="4"/>
      <c r="D32" s="4"/>
      <c r="E32" s="36"/>
      <c r="F32" s="4"/>
      <c r="G32" s="36"/>
      <c r="H32" s="20"/>
      <c r="I32" s="8"/>
      <c r="J32" s="8"/>
      <c r="K32" s="4"/>
    </row>
    <row r="33" spans="1:11" ht="15">
      <c r="A33" s="9"/>
      <c r="B33" s="28"/>
      <c r="C33" s="5"/>
      <c r="D33" s="5"/>
      <c r="E33" s="28"/>
      <c r="F33" s="5"/>
      <c r="G33" s="28"/>
      <c r="H33" s="21"/>
      <c r="I33" s="10"/>
      <c r="J33" s="10"/>
      <c r="K33" s="5"/>
    </row>
    <row r="34" spans="1:11" ht="15">
      <c r="A34" s="7"/>
      <c r="B34" s="36"/>
      <c r="C34" s="4"/>
      <c r="D34" s="4"/>
      <c r="E34" s="36"/>
      <c r="F34" s="4"/>
      <c r="G34" s="36"/>
      <c r="H34" s="20"/>
      <c r="I34" s="8"/>
      <c r="J34" s="8"/>
      <c r="K34" s="4"/>
    </row>
    <row r="35" spans="1:11" ht="15">
      <c r="A35" s="9"/>
      <c r="B35" s="28"/>
      <c r="C35" s="5"/>
      <c r="D35" s="5"/>
      <c r="E35" s="28"/>
      <c r="F35" s="5"/>
      <c r="G35" s="28"/>
      <c r="H35" s="21"/>
      <c r="I35" s="10"/>
      <c r="J35" s="10"/>
      <c r="K35" s="5"/>
    </row>
    <row r="36" spans="1:11" ht="15">
      <c r="A36" s="7"/>
      <c r="B36" s="36"/>
      <c r="C36" s="4"/>
      <c r="D36" s="4"/>
      <c r="E36" s="36"/>
      <c r="F36" s="4"/>
      <c r="G36" s="36"/>
      <c r="H36" s="20"/>
      <c r="I36" s="8"/>
      <c r="J36" s="8"/>
      <c r="K36" s="4"/>
    </row>
    <row r="37" spans="1:11" ht="15">
      <c r="A37" s="9"/>
      <c r="B37" s="28"/>
      <c r="C37" s="5"/>
      <c r="D37" s="5"/>
      <c r="E37" s="28"/>
      <c r="F37" s="5"/>
      <c r="G37" s="28"/>
      <c r="H37" s="21"/>
      <c r="I37" s="10"/>
      <c r="J37" s="10"/>
      <c r="K37" s="5"/>
    </row>
    <row r="38" spans="1:11" ht="15">
      <c r="A38" s="7"/>
      <c r="B38" s="36"/>
      <c r="C38" s="4"/>
      <c r="D38" s="4"/>
      <c r="E38" s="36"/>
      <c r="F38" s="4"/>
      <c r="G38" s="36"/>
      <c r="H38" s="20"/>
      <c r="I38" s="8"/>
      <c r="J38" s="8"/>
      <c r="K38" s="4"/>
    </row>
    <row r="39" spans="1:11" ht="15">
      <c r="A39" s="9"/>
      <c r="B39" s="28"/>
      <c r="C39" s="5"/>
      <c r="D39" s="5"/>
      <c r="E39" s="28"/>
      <c r="F39" s="5"/>
      <c r="G39" s="28"/>
      <c r="H39" s="21"/>
      <c r="I39" s="10"/>
      <c r="J39" s="10"/>
      <c r="K39" s="5"/>
    </row>
    <row r="40" spans="1:11" ht="15">
      <c r="A40" s="7"/>
      <c r="B40" s="36"/>
      <c r="C40" s="4"/>
      <c r="D40" s="4"/>
      <c r="E40" s="36"/>
      <c r="F40" s="4"/>
      <c r="G40" s="36"/>
      <c r="H40" s="20"/>
      <c r="I40" s="8"/>
      <c r="J40" s="8"/>
      <c r="K40" s="4"/>
    </row>
    <row r="41" spans="1:11" ht="15">
      <c r="A41" s="9"/>
      <c r="B41" s="28"/>
      <c r="C41" s="5"/>
      <c r="D41" s="5"/>
      <c r="E41" s="28"/>
      <c r="F41" s="5"/>
      <c r="G41" s="28"/>
      <c r="H41" s="21"/>
      <c r="I41" s="10"/>
      <c r="J41" s="10"/>
      <c r="K41" s="5"/>
    </row>
    <row r="42" spans="1:11" ht="15">
      <c r="A42" s="7"/>
      <c r="B42" s="36"/>
      <c r="C42" s="4"/>
      <c r="D42" s="4"/>
      <c r="E42" s="36"/>
      <c r="F42" s="4"/>
      <c r="G42" s="36"/>
      <c r="H42" s="20"/>
      <c r="I42" s="8"/>
      <c r="J42" s="8"/>
      <c r="K42" s="4"/>
    </row>
    <row r="43" spans="1:11" ht="15">
      <c r="A43" s="9"/>
      <c r="B43" s="28"/>
      <c r="C43" s="5"/>
      <c r="D43" s="5"/>
      <c r="E43" s="28"/>
      <c r="F43" s="5"/>
      <c r="G43" s="28"/>
      <c r="H43" s="21"/>
      <c r="I43" s="10"/>
      <c r="J43" s="10"/>
      <c r="K43" s="5"/>
    </row>
    <row r="44" spans="1:11" ht="15">
      <c r="A44" s="7"/>
      <c r="B44" s="36"/>
      <c r="C44" s="4"/>
      <c r="D44" s="4"/>
      <c r="E44" s="36"/>
      <c r="F44" s="4"/>
      <c r="G44" s="36"/>
      <c r="H44" s="20"/>
      <c r="I44" s="8"/>
      <c r="J44" s="8"/>
      <c r="K44" s="4"/>
    </row>
    <row r="45" spans="1:11" ht="15">
      <c r="A45" s="9"/>
      <c r="B45" s="28"/>
      <c r="C45" s="5"/>
      <c r="D45" s="5"/>
      <c r="E45" s="28"/>
      <c r="F45" s="5"/>
      <c r="G45" s="28"/>
      <c r="H45" s="21"/>
      <c r="I45" s="10"/>
      <c r="J45" s="10"/>
      <c r="K45" s="5"/>
    </row>
    <row r="46" spans="1:11" ht="15">
      <c r="A46" s="7"/>
      <c r="B46" s="36"/>
      <c r="C46" s="4"/>
      <c r="D46" s="4"/>
      <c r="E46" s="36"/>
      <c r="F46" s="4"/>
      <c r="G46" s="36"/>
      <c r="H46" s="20"/>
      <c r="I46" s="8"/>
      <c r="J46" s="8"/>
      <c r="K46" s="4"/>
    </row>
    <row r="47" spans="1:11" ht="15">
      <c r="A47" s="9"/>
      <c r="B47" s="28"/>
      <c r="C47" s="5"/>
      <c r="D47" s="5"/>
      <c r="E47" s="28"/>
      <c r="F47" s="5"/>
      <c r="G47" s="28"/>
      <c r="H47" s="21"/>
      <c r="I47" s="10"/>
      <c r="J47" s="10"/>
      <c r="K47" s="5"/>
    </row>
    <row r="48" spans="1:11" ht="15">
      <c r="A48" s="7"/>
      <c r="B48" s="36"/>
      <c r="C48" s="4"/>
      <c r="D48" s="4"/>
      <c r="E48" s="36"/>
      <c r="F48" s="4"/>
      <c r="G48" s="36"/>
      <c r="H48" s="20"/>
      <c r="I48" s="8"/>
      <c r="J48" s="8"/>
      <c r="K48" s="4"/>
    </row>
    <row r="49" spans="1:11" ht="15">
      <c r="A49" s="9"/>
      <c r="B49" s="28"/>
      <c r="C49" s="5"/>
      <c r="D49" s="5"/>
      <c r="E49" s="28"/>
      <c r="F49" s="5"/>
      <c r="G49" s="28"/>
      <c r="H49" s="21"/>
      <c r="I49" s="10"/>
      <c r="J49" s="10"/>
      <c r="K49" s="5"/>
    </row>
    <row r="50" spans="1:11" ht="15">
      <c r="A50" s="7"/>
      <c r="B50" s="36"/>
      <c r="C50" s="4"/>
      <c r="D50" s="4"/>
      <c r="E50" s="36"/>
      <c r="F50" s="4"/>
      <c r="G50" s="36"/>
      <c r="H50" s="20"/>
      <c r="I50" s="8"/>
      <c r="J50" s="8"/>
      <c r="K50" s="4"/>
    </row>
    <row r="51" spans="1:11" ht="15">
      <c r="A51" s="9"/>
      <c r="B51" s="28"/>
      <c r="C51" s="5"/>
      <c r="D51" s="5"/>
      <c r="E51" s="28"/>
      <c r="F51" s="5"/>
      <c r="G51" s="28"/>
      <c r="H51" s="21"/>
      <c r="I51" s="10"/>
      <c r="J51" s="10"/>
      <c r="K51" s="5"/>
    </row>
    <row r="52" spans="1:11" ht="15">
      <c r="A52" s="7"/>
      <c r="B52" s="36"/>
      <c r="C52" s="4"/>
      <c r="D52" s="4"/>
      <c r="E52" s="36"/>
      <c r="F52" s="4"/>
      <c r="G52" s="36"/>
      <c r="H52" s="20"/>
      <c r="I52" s="8"/>
      <c r="J52" s="8"/>
      <c r="K52" s="4"/>
    </row>
    <row r="53" spans="1:11" ht="15">
      <c r="A53" s="9"/>
      <c r="B53" s="28"/>
      <c r="C53" s="5"/>
      <c r="D53" s="5"/>
      <c r="E53" s="28"/>
      <c r="F53" s="5"/>
      <c r="G53" s="28"/>
      <c r="H53" s="21"/>
      <c r="I53" s="10"/>
      <c r="J53" s="10"/>
      <c r="K53" s="5"/>
    </row>
    <row r="54" spans="1:11" ht="15">
      <c r="A54" s="7"/>
      <c r="B54" s="36"/>
      <c r="C54" s="4"/>
      <c r="D54" s="4"/>
      <c r="E54" s="36"/>
      <c r="F54" s="4"/>
      <c r="G54" s="36"/>
      <c r="H54" s="20"/>
      <c r="I54" s="8"/>
      <c r="J54" s="8"/>
      <c r="K54" s="4"/>
    </row>
    <row r="55" spans="1:11" ht="15">
      <c r="A55" s="9"/>
      <c r="B55" s="28"/>
      <c r="C55" s="5"/>
      <c r="D55" s="5"/>
      <c r="E55" s="28"/>
      <c r="F55" s="5"/>
      <c r="G55" s="28"/>
      <c r="H55" s="21"/>
      <c r="I55" s="10"/>
      <c r="J55" s="10"/>
      <c r="K55" s="5"/>
    </row>
    <row r="56" spans="1:11" ht="15">
      <c r="A56" s="7"/>
      <c r="B56" s="36"/>
      <c r="C56" s="4"/>
      <c r="D56" s="4"/>
      <c r="E56" s="36"/>
      <c r="F56" s="4"/>
      <c r="G56" s="36"/>
      <c r="H56" s="20"/>
      <c r="I56" s="8"/>
      <c r="J56" s="8"/>
      <c r="K56" s="4"/>
    </row>
    <row r="57" spans="1:11" ht="15">
      <c r="A57" s="9"/>
      <c r="B57" s="28"/>
      <c r="C57" s="5"/>
      <c r="D57" s="5"/>
      <c r="E57" s="28"/>
      <c r="F57" s="5"/>
      <c r="G57" s="28"/>
      <c r="H57" s="21"/>
      <c r="I57" s="10"/>
      <c r="J57" s="10"/>
      <c r="K57" s="5"/>
    </row>
    <row r="58" spans="1:11" ht="15">
      <c r="A58" s="7"/>
      <c r="B58" s="36"/>
      <c r="C58" s="4"/>
      <c r="D58" s="4"/>
      <c r="E58" s="36"/>
      <c r="F58" s="4"/>
      <c r="G58" s="36"/>
      <c r="H58" s="20"/>
      <c r="I58" s="8"/>
      <c r="J58" s="8"/>
      <c r="K58" s="4"/>
    </row>
    <row r="59" spans="1:11" ht="15">
      <c r="A59" s="9"/>
      <c r="B59" s="28"/>
      <c r="C59" s="5"/>
      <c r="D59" s="5"/>
      <c r="E59" s="28"/>
      <c r="F59" s="5"/>
      <c r="G59" s="28"/>
      <c r="H59" s="21"/>
      <c r="I59" s="10"/>
      <c r="J59" s="10"/>
      <c r="K59" s="5"/>
    </row>
    <row r="60" spans="1:11" ht="15">
      <c r="A60" s="7"/>
      <c r="B60" s="36"/>
      <c r="C60" s="4"/>
      <c r="D60" s="4"/>
      <c r="E60" s="36"/>
      <c r="F60" s="4"/>
      <c r="G60" s="36"/>
      <c r="H60" s="20"/>
      <c r="I60" s="8"/>
      <c r="J60" s="8"/>
      <c r="K60" s="4"/>
    </row>
  </sheetData>
  <autoFilter ref="A3:K60" xr:uid="{00000000-0009-0000-0000-000003000000}"/>
  <customSheetViews>
    <customSheetView guid="{4FF6BE25-937E-494D-AC54-A20606835592}" showGridLines="0" showAutoFilter="1">
      <pane ySplit="3" topLeftCell="A4" activePane="bottomLeft" state="frozen"/>
      <selection pane="bottomLeft" sqref="A1:K1"/>
      <pageMargins left="0" right="0" top="0" bottom="0" header="0" footer="0"/>
      <pageSetup paperSize="9" orientation="portrait" horizontalDpi="300" verticalDpi="300"/>
      <autoFilter ref="A3:K60" xr:uid="{64FB2EF5-9485-4B44-A0C0-C01A50584693}"/>
    </customSheetView>
  </customSheetViews>
  <mergeCells count="2">
    <mergeCell ref="A1:K1"/>
    <mergeCell ref="A2:K2"/>
  </mergeCells>
  <conditionalFormatting sqref="G4:G60">
    <cfRule type="expression" dxfId="18" priority="2">
      <formula>G4="Open"</formula>
    </cfRule>
    <cfRule type="expression" dxfId="17" priority="3">
      <formula>G4="Escalated"</formula>
    </cfRule>
    <cfRule type="expression" dxfId="16" priority="4">
      <formula>G4="In Progress"</formula>
    </cfRule>
    <cfRule type="expression" dxfId="15" priority="5">
      <formula>G4="Mitigated"</formula>
    </cfRule>
    <cfRule type="expression" dxfId="14" priority="6">
      <formula>G4="Closed"</formula>
    </cfRule>
  </conditionalFormatting>
  <dataValidations count="2">
    <dataValidation type="list" allowBlank="1" sqref="B4:B60" xr:uid="{00000000-0002-0000-0300-000000000000}">
      <formula1>CategoryList</formula1>
      <formula2>0</formula2>
    </dataValidation>
    <dataValidation type="list" allowBlank="1" sqref="G4:G60" xr:uid="{00000000-0002-0000-0300-000001000000}">
      <formula1>StatusList</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36C09"/>
  </sheetPr>
  <dimension ref="A1:M60"/>
  <sheetViews>
    <sheetView showGridLines="0" zoomScaleNormal="100" workbookViewId="0">
      <pane ySplit="3" topLeftCell="A4" activePane="bottomLeft" state="frozen"/>
      <selection pane="bottomLeft" activeCell="M4" sqref="M4"/>
    </sheetView>
  </sheetViews>
  <sheetFormatPr defaultColWidth="8.7109375" defaultRowHeight="14.45"/>
  <cols>
    <col min="1" max="2" width="11" customWidth="1"/>
    <col min="3" max="3" width="14" customWidth="1"/>
    <col min="4" max="4" width="45" customWidth="1"/>
    <col min="5" max="5" width="30" customWidth="1"/>
    <col min="6" max="6" width="11" style="16" customWidth="1"/>
    <col min="7" max="7" width="13" style="16" customWidth="1"/>
    <col min="8" max="8" width="34" customWidth="1"/>
    <col min="9" max="9" width="13" style="16" customWidth="1"/>
    <col min="10" max="10" width="14" style="16" customWidth="1"/>
    <col min="11" max="11" width="17" style="16" customWidth="1"/>
    <col min="12" max="12" width="15" customWidth="1"/>
    <col min="13" max="13" width="67.85546875" customWidth="1"/>
  </cols>
  <sheetData>
    <row r="1" spans="1:13" ht="27.75" customHeight="1">
      <c r="A1" s="14" t="s">
        <v>178</v>
      </c>
      <c r="B1" s="14"/>
      <c r="C1" s="14"/>
      <c r="D1" s="14"/>
      <c r="E1" s="14"/>
      <c r="F1" s="26"/>
      <c r="G1" s="26"/>
      <c r="H1" s="14"/>
      <c r="I1" s="26"/>
      <c r="J1" s="26"/>
      <c r="K1" s="26"/>
      <c r="L1" s="14"/>
      <c r="M1" s="14"/>
    </row>
    <row r="2" spans="1:13" ht="15.75" customHeight="1">
      <c r="A2" s="1" t="s">
        <v>179</v>
      </c>
      <c r="B2" s="1"/>
      <c r="C2" s="1"/>
      <c r="D2" s="1"/>
      <c r="E2" s="1"/>
      <c r="F2" s="27"/>
      <c r="G2" s="27"/>
      <c r="H2" s="1"/>
      <c r="I2" s="27"/>
      <c r="J2" s="27"/>
      <c r="K2" s="27"/>
      <c r="L2" s="1"/>
      <c r="M2" s="1"/>
    </row>
    <row r="3" spans="1:13" ht="31.5" customHeight="1">
      <c r="A3" s="3" t="s">
        <v>180</v>
      </c>
      <c r="B3" s="3" t="s">
        <v>23</v>
      </c>
      <c r="C3" s="3" t="s">
        <v>2</v>
      </c>
      <c r="D3" s="3" t="s">
        <v>181</v>
      </c>
      <c r="E3" s="3" t="s">
        <v>27</v>
      </c>
      <c r="F3" s="3" t="s">
        <v>14</v>
      </c>
      <c r="G3" s="3" t="s">
        <v>29</v>
      </c>
      <c r="H3" s="3" t="s">
        <v>182</v>
      </c>
      <c r="I3" s="3" t="s">
        <v>25</v>
      </c>
      <c r="J3" s="3" t="s">
        <v>183</v>
      </c>
      <c r="K3" s="3" t="s">
        <v>184</v>
      </c>
      <c r="L3" s="3" t="s">
        <v>185</v>
      </c>
      <c r="M3" s="3" t="s">
        <v>35</v>
      </c>
    </row>
    <row r="4" spans="1:13" ht="59.25" customHeight="1">
      <c r="A4" s="7" t="s">
        <v>186</v>
      </c>
      <c r="B4" s="7" t="s">
        <v>43</v>
      </c>
      <c r="C4" s="4" t="s">
        <v>44</v>
      </c>
      <c r="D4" s="4" t="s">
        <v>187</v>
      </c>
      <c r="E4" s="4" t="s">
        <v>188</v>
      </c>
      <c r="F4" s="36" t="s">
        <v>16</v>
      </c>
      <c r="G4" s="36" t="s">
        <v>189</v>
      </c>
      <c r="H4" s="4" t="s">
        <v>190</v>
      </c>
      <c r="I4" s="36" t="s">
        <v>6</v>
      </c>
      <c r="J4" s="41">
        <v>46231</v>
      </c>
      <c r="K4" s="41" t="s">
        <v>191</v>
      </c>
      <c r="L4" s="8">
        <v>46239</v>
      </c>
      <c r="M4" s="4" t="s">
        <v>192</v>
      </c>
    </row>
    <row r="5" spans="1:13" ht="26.45">
      <c r="A5" s="9" t="s">
        <v>193</v>
      </c>
      <c r="B5" s="9" t="s">
        <v>194</v>
      </c>
      <c r="C5" s="4" t="s">
        <v>44</v>
      </c>
      <c r="D5" s="5"/>
      <c r="E5" s="5" t="s">
        <v>188</v>
      </c>
      <c r="F5" s="28" t="s">
        <v>16</v>
      </c>
      <c r="G5" s="28" t="s">
        <v>195</v>
      </c>
      <c r="H5" s="5" t="s">
        <v>196</v>
      </c>
      <c r="I5" s="28" t="s">
        <v>4</v>
      </c>
      <c r="J5" s="41">
        <v>46238</v>
      </c>
      <c r="K5" s="15"/>
      <c r="L5" s="10"/>
      <c r="M5" s="5"/>
    </row>
    <row r="6" spans="1:13">
      <c r="A6" s="7"/>
      <c r="B6" s="7"/>
      <c r="C6" s="4"/>
      <c r="D6" s="4"/>
      <c r="E6" s="4"/>
      <c r="F6" s="36"/>
      <c r="G6" s="36"/>
      <c r="H6" s="4"/>
      <c r="I6" s="36"/>
      <c r="J6" s="41"/>
      <c r="K6" s="41"/>
      <c r="L6" s="8"/>
      <c r="M6" s="4"/>
    </row>
    <row r="7" spans="1:13">
      <c r="A7" s="9"/>
      <c r="B7" s="9"/>
      <c r="C7" s="5"/>
      <c r="D7" s="5"/>
      <c r="E7" s="5"/>
      <c r="F7" s="28"/>
      <c r="G7" s="28"/>
      <c r="H7" s="5"/>
      <c r="I7" s="28"/>
      <c r="J7" s="15"/>
      <c r="K7" s="15"/>
      <c r="L7" s="10"/>
      <c r="M7" s="5"/>
    </row>
    <row r="8" spans="1:13">
      <c r="A8" s="7"/>
      <c r="B8" s="7"/>
      <c r="C8" s="4"/>
      <c r="D8" s="4"/>
      <c r="E8" s="4"/>
      <c r="F8" s="36"/>
      <c r="G8" s="36"/>
      <c r="H8" s="4"/>
      <c r="I8" s="36"/>
      <c r="J8" s="41"/>
      <c r="K8" s="41"/>
      <c r="L8" s="8"/>
      <c r="M8" s="4"/>
    </row>
    <row r="9" spans="1:13">
      <c r="A9" s="9"/>
      <c r="B9" s="9"/>
      <c r="C9" s="5"/>
      <c r="D9" s="5"/>
      <c r="E9" s="5"/>
      <c r="F9" s="28"/>
      <c r="G9" s="28"/>
      <c r="H9" s="5"/>
      <c r="I9" s="28"/>
      <c r="J9" s="15"/>
      <c r="K9" s="15"/>
      <c r="L9" s="10"/>
      <c r="M9" s="5"/>
    </row>
    <row r="10" spans="1:13">
      <c r="A10" s="7"/>
      <c r="B10" s="7"/>
      <c r="C10" s="4"/>
      <c r="D10" s="4"/>
      <c r="E10" s="4"/>
      <c r="F10" s="36"/>
      <c r="G10" s="36"/>
      <c r="H10" s="4"/>
      <c r="I10" s="36"/>
      <c r="J10" s="41"/>
      <c r="K10" s="41"/>
      <c r="L10" s="8"/>
      <c r="M10" s="4"/>
    </row>
    <row r="11" spans="1:13">
      <c r="A11" s="9"/>
      <c r="B11" s="9"/>
      <c r="C11" s="5"/>
      <c r="D11" s="5"/>
      <c r="E11" s="5"/>
      <c r="F11" s="28"/>
      <c r="G11" s="28"/>
      <c r="H11" s="5"/>
      <c r="I11" s="28"/>
      <c r="J11" s="15"/>
      <c r="K11" s="15"/>
      <c r="L11" s="10"/>
      <c r="M11" s="5"/>
    </row>
    <row r="12" spans="1:13">
      <c r="A12" s="7"/>
      <c r="B12" s="7"/>
      <c r="C12" s="4"/>
      <c r="D12" s="4"/>
      <c r="E12" s="4"/>
      <c r="F12" s="36"/>
      <c r="G12" s="36"/>
      <c r="H12" s="4"/>
      <c r="I12" s="36"/>
      <c r="J12" s="41"/>
      <c r="K12" s="41"/>
      <c r="L12" s="8"/>
      <c r="M12" s="4"/>
    </row>
    <row r="13" spans="1:13">
      <c r="A13" s="9"/>
      <c r="B13" s="9"/>
      <c r="C13" s="5"/>
      <c r="D13" s="5"/>
      <c r="E13" s="5"/>
      <c r="F13" s="28"/>
      <c r="G13" s="28"/>
      <c r="H13" s="5"/>
      <c r="I13" s="28"/>
      <c r="J13" s="15"/>
      <c r="K13" s="15"/>
      <c r="L13" s="10"/>
      <c r="M13" s="5"/>
    </row>
    <row r="14" spans="1:13">
      <c r="A14" s="7"/>
      <c r="B14" s="7"/>
      <c r="C14" s="4"/>
      <c r="D14" s="4"/>
      <c r="E14" s="4"/>
      <c r="F14" s="36"/>
      <c r="G14" s="36"/>
      <c r="H14" s="4"/>
      <c r="I14" s="36"/>
      <c r="J14" s="41"/>
      <c r="K14" s="41"/>
      <c r="L14" s="8"/>
      <c r="M14" s="4"/>
    </row>
    <row r="15" spans="1:13">
      <c r="A15" s="9"/>
      <c r="B15" s="9"/>
      <c r="C15" s="5"/>
      <c r="D15" s="5"/>
      <c r="E15" s="5"/>
      <c r="F15" s="28"/>
      <c r="G15" s="28"/>
      <c r="H15" s="5"/>
      <c r="I15" s="28"/>
      <c r="J15" s="15"/>
      <c r="K15" s="15"/>
      <c r="L15" s="10"/>
      <c r="M15" s="5"/>
    </row>
    <row r="16" spans="1:13">
      <c r="A16" s="7"/>
      <c r="B16" s="7"/>
      <c r="C16" s="4"/>
      <c r="D16" s="4"/>
      <c r="E16" s="4"/>
      <c r="F16" s="36"/>
      <c r="G16" s="36"/>
      <c r="H16" s="4"/>
      <c r="I16" s="36"/>
      <c r="J16" s="41"/>
      <c r="K16" s="41"/>
      <c r="L16" s="8"/>
      <c r="M16" s="4"/>
    </row>
    <row r="17" spans="1:13">
      <c r="A17" s="9"/>
      <c r="B17" s="9"/>
      <c r="C17" s="5"/>
      <c r="D17" s="5"/>
      <c r="E17" s="5"/>
      <c r="F17" s="28"/>
      <c r="G17" s="28"/>
      <c r="H17" s="5"/>
      <c r="I17" s="28"/>
      <c r="J17" s="15"/>
      <c r="K17" s="15"/>
      <c r="L17" s="10"/>
      <c r="M17" s="5"/>
    </row>
    <row r="18" spans="1:13">
      <c r="A18" s="7"/>
      <c r="B18" s="7"/>
      <c r="C18" s="4"/>
      <c r="D18" s="4"/>
      <c r="E18" s="4"/>
      <c r="F18" s="36"/>
      <c r="G18" s="36"/>
      <c r="H18" s="4"/>
      <c r="I18" s="36"/>
      <c r="J18" s="41"/>
      <c r="K18" s="41"/>
      <c r="L18" s="8"/>
      <c r="M18" s="4"/>
    </row>
    <row r="19" spans="1:13">
      <c r="A19" s="9"/>
      <c r="B19" s="9"/>
      <c r="C19" s="5"/>
      <c r="D19" s="5"/>
      <c r="E19" s="5"/>
      <c r="F19" s="28"/>
      <c r="G19" s="28"/>
      <c r="H19" s="5"/>
      <c r="I19" s="28"/>
      <c r="J19" s="15"/>
      <c r="K19" s="15"/>
      <c r="L19" s="10"/>
      <c r="M19" s="5"/>
    </row>
    <row r="20" spans="1:13">
      <c r="A20" s="7"/>
      <c r="B20" s="7"/>
      <c r="C20" s="4"/>
      <c r="D20" s="4"/>
      <c r="E20" s="4"/>
      <c r="F20" s="36"/>
      <c r="G20" s="36"/>
      <c r="H20" s="4"/>
      <c r="I20" s="36"/>
      <c r="J20" s="41"/>
      <c r="K20" s="41"/>
      <c r="L20" s="8"/>
      <c r="M20" s="4"/>
    </row>
    <row r="21" spans="1:13">
      <c r="A21" s="9"/>
      <c r="B21" s="9"/>
      <c r="C21" s="5"/>
      <c r="D21" s="5"/>
      <c r="E21" s="5"/>
      <c r="F21" s="28"/>
      <c r="G21" s="28"/>
      <c r="H21" s="5"/>
      <c r="I21" s="28"/>
      <c r="J21" s="15"/>
      <c r="K21" s="15"/>
      <c r="L21" s="10"/>
      <c r="M21" s="5"/>
    </row>
    <row r="22" spans="1:13">
      <c r="A22" s="7"/>
      <c r="B22" s="7"/>
      <c r="C22" s="4"/>
      <c r="D22" s="4"/>
      <c r="E22" s="4"/>
      <c r="F22" s="36"/>
      <c r="G22" s="36"/>
      <c r="H22" s="4"/>
      <c r="I22" s="36"/>
      <c r="J22" s="41"/>
      <c r="K22" s="41"/>
      <c r="L22" s="8"/>
      <c r="M22" s="4"/>
    </row>
    <row r="23" spans="1:13">
      <c r="A23" s="9"/>
      <c r="B23" s="9"/>
      <c r="C23" s="5"/>
      <c r="D23" s="5"/>
      <c r="E23" s="5"/>
      <c r="F23" s="28"/>
      <c r="G23" s="28"/>
      <c r="H23" s="5"/>
      <c r="I23" s="28"/>
      <c r="J23" s="15"/>
      <c r="K23" s="15"/>
      <c r="L23" s="10"/>
      <c r="M23" s="5"/>
    </row>
    <row r="24" spans="1:13">
      <c r="A24" s="7"/>
      <c r="B24" s="7"/>
      <c r="C24" s="4"/>
      <c r="D24" s="4"/>
      <c r="E24" s="4"/>
      <c r="F24" s="36"/>
      <c r="G24" s="36"/>
      <c r="H24" s="4"/>
      <c r="I24" s="36"/>
      <c r="J24" s="41"/>
      <c r="K24" s="41"/>
      <c r="L24" s="8"/>
      <c r="M24" s="4"/>
    </row>
    <row r="25" spans="1:13">
      <c r="A25" s="9"/>
      <c r="B25" s="9"/>
      <c r="C25" s="5"/>
      <c r="D25" s="5"/>
      <c r="E25" s="5"/>
      <c r="F25" s="28"/>
      <c r="G25" s="28"/>
      <c r="H25" s="5"/>
      <c r="I25" s="28"/>
      <c r="J25" s="15"/>
      <c r="K25" s="15"/>
      <c r="L25" s="10"/>
      <c r="M25" s="5"/>
    </row>
    <row r="26" spans="1:13">
      <c r="A26" s="7"/>
      <c r="B26" s="7"/>
      <c r="C26" s="4"/>
      <c r="D26" s="4"/>
      <c r="E26" s="4"/>
      <c r="F26" s="36"/>
      <c r="G26" s="36"/>
      <c r="H26" s="4"/>
      <c r="I26" s="36"/>
      <c r="J26" s="41"/>
      <c r="K26" s="41"/>
      <c r="L26" s="8"/>
      <c r="M26" s="4"/>
    </row>
    <row r="27" spans="1:13">
      <c r="A27" s="9"/>
      <c r="B27" s="9"/>
      <c r="C27" s="5"/>
      <c r="D27" s="5"/>
      <c r="E27" s="5"/>
      <c r="F27" s="28"/>
      <c r="G27" s="28"/>
      <c r="H27" s="5"/>
      <c r="I27" s="28"/>
      <c r="J27" s="15"/>
      <c r="K27" s="15"/>
      <c r="L27" s="10"/>
      <c r="M27" s="5"/>
    </row>
    <row r="28" spans="1:13">
      <c r="A28" s="7"/>
      <c r="B28" s="7"/>
      <c r="C28" s="4"/>
      <c r="D28" s="4"/>
      <c r="E28" s="4"/>
      <c r="F28" s="36"/>
      <c r="G28" s="36"/>
      <c r="H28" s="4"/>
      <c r="I28" s="36"/>
      <c r="J28" s="41"/>
      <c r="K28" s="41"/>
      <c r="L28" s="8"/>
      <c r="M28" s="4"/>
    </row>
    <row r="29" spans="1:13">
      <c r="A29" s="9"/>
      <c r="B29" s="9"/>
      <c r="C29" s="5"/>
      <c r="D29" s="5"/>
      <c r="E29" s="5"/>
      <c r="F29" s="28"/>
      <c r="G29" s="28"/>
      <c r="H29" s="5"/>
      <c r="I29" s="28"/>
      <c r="J29" s="15"/>
      <c r="K29" s="15"/>
      <c r="L29" s="10"/>
      <c r="M29" s="5"/>
    </row>
    <row r="30" spans="1:13">
      <c r="A30" s="7"/>
      <c r="B30" s="7"/>
      <c r="C30" s="4"/>
      <c r="D30" s="4"/>
      <c r="E30" s="4"/>
      <c r="F30" s="36"/>
      <c r="G30" s="36"/>
      <c r="H30" s="4"/>
      <c r="I30" s="36"/>
      <c r="J30" s="41"/>
      <c r="K30" s="41"/>
      <c r="L30" s="8"/>
      <c r="M30" s="4"/>
    </row>
    <row r="31" spans="1:13">
      <c r="A31" s="9"/>
      <c r="B31" s="9"/>
      <c r="C31" s="5"/>
      <c r="D31" s="5"/>
      <c r="E31" s="5"/>
      <c r="F31" s="28"/>
      <c r="G31" s="28"/>
      <c r="H31" s="5"/>
      <c r="I31" s="28"/>
      <c r="J31" s="15"/>
      <c r="K31" s="15"/>
      <c r="L31" s="10"/>
      <c r="M31" s="5"/>
    </row>
    <row r="32" spans="1:13">
      <c r="A32" s="7"/>
      <c r="B32" s="7"/>
      <c r="C32" s="4"/>
      <c r="D32" s="4"/>
      <c r="E32" s="4"/>
      <c r="F32" s="36"/>
      <c r="G32" s="36"/>
      <c r="H32" s="4"/>
      <c r="I32" s="36"/>
      <c r="J32" s="41"/>
      <c r="K32" s="41"/>
      <c r="L32" s="8"/>
      <c r="M32" s="4"/>
    </row>
    <row r="33" spans="1:13">
      <c r="A33" s="9"/>
      <c r="B33" s="9"/>
      <c r="C33" s="5"/>
      <c r="D33" s="5"/>
      <c r="E33" s="5"/>
      <c r="F33" s="28"/>
      <c r="G33" s="28"/>
      <c r="H33" s="5"/>
      <c r="I33" s="28"/>
      <c r="J33" s="15"/>
      <c r="K33" s="15"/>
      <c r="L33" s="10"/>
      <c r="M33" s="5"/>
    </row>
    <row r="34" spans="1:13">
      <c r="A34" s="7"/>
      <c r="B34" s="7"/>
      <c r="C34" s="4"/>
      <c r="D34" s="4"/>
      <c r="E34" s="4"/>
      <c r="F34" s="36"/>
      <c r="G34" s="36"/>
      <c r="H34" s="4"/>
      <c r="I34" s="36"/>
      <c r="J34" s="41"/>
      <c r="K34" s="41"/>
      <c r="L34" s="8"/>
      <c r="M34" s="4"/>
    </row>
    <row r="35" spans="1:13">
      <c r="A35" s="9"/>
      <c r="B35" s="9"/>
      <c r="C35" s="5"/>
      <c r="D35" s="5"/>
      <c r="E35" s="5"/>
      <c r="F35" s="28"/>
      <c r="G35" s="28"/>
      <c r="H35" s="5"/>
      <c r="I35" s="28"/>
      <c r="J35" s="15"/>
      <c r="K35" s="15"/>
      <c r="L35" s="10"/>
      <c r="M35" s="5"/>
    </row>
    <row r="36" spans="1:13">
      <c r="A36" s="7"/>
      <c r="B36" s="7"/>
      <c r="C36" s="4"/>
      <c r="D36" s="4"/>
      <c r="E36" s="4"/>
      <c r="F36" s="36"/>
      <c r="G36" s="36"/>
      <c r="H36" s="4"/>
      <c r="I36" s="36"/>
      <c r="J36" s="41"/>
      <c r="K36" s="41"/>
      <c r="L36" s="8"/>
      <c r="M36" s="4"/>
    </row>
    <row r="37" spans="1:13">
      <c r="A37" s="9"/>
      <c r="B37" s="9"/>
      <c r="C37" s="5"/>
      <c r="D37" s="5"/>
      <c r="E37" s="5"/>
      <c r="F37" s="28"/>
      <c r="G37" s="28"/>
      <c r="H37" s="5"/>
      <c r="I37" s="28"/>
      <c r="J37" s="15"/>
      <c r="K37" s="15"/>
      <c r="L37" s="10"/>
      <c r="M37" s="5"/>
    </row>
    <row r="38" spans="1:13">
      <c r="A38" s="7"/>
      <c r="B38" s="7"/>
      <c r="C38" s="4"/>
      <c r="D38" s="4"/>
      <c r="E38" s="4"/>
      <c r="F38" s="36"/>
      <c r="G38" s="36"/>
      <c r="H38" s="4"/>
      <c r="I38" s="36"/>
      <c r="J38" s="41"/>
      <c r="K38" s="41"/>
      <c r="L38" s="8"/>
      <c r="M38" s="4"/>
    </row>
    <row r="39" spans="1:13">
      <c r="A39" s="9"/>
      <c r="B39" s="9"/>
      <c r="C39" s="5"/>
      <c r="D39" s="5"/>
      <c r="E39" s="5"/>
      <c r="F39" s="28"/>
      <c r="G39" s="28"/>
      <c r="H39" s="5"/>
      <c r="I39" s="28"/>
      <c r="J39" s="15"/>
      <c r="K39" s="15"/>
      <c r="L39" s="10"/>
      <c r="M39" s="5"/>
    </row>
    <row r="40" spans="1:13">
      <c r="A40" s="7"/>
      <c r="B40" s="7"/>
      <c r="C40" s="4"/>
      <c r="D40" s="4"/>
      <c r="E40" s="4"/>
      <c r="F40" s="36"/>
      <c r="G40" s="36"/>
      <c r="H40" s="4"/>
      <c r="I40" s="36"/>
      <c r="J40" s="41"/>
      <c r="K40" s="41"/>
      <c r="L40" s="8"/>
      <c r="M40" s="4"/>
    </row>
    <row r="41" spans="1:13">
      <c r="A41" s="9"/>
      <c r="B41" s="9"/>
      <c r="C41" s="5"/>
      <c r="D41" s="5"/>
      <c r="E41" s="5"/>
      <c r="F41" s="28"/>
      <c r="G41" s="28"/>
      <c r="H41" s="5"/>
      <c r="I41" s="28"/>
      <c r="J41" s="15"/>
      <c r="K41" s="15"/>
      <c r="L41" s="10"/>
      <c r="M41" s="5"/>
    </row>
    <row r="42" spans="1:13">
      <c r="A42" s="7"/>
      <c r="B42" s="7"/>
      <c r="C42" s="4"/>
      <c r="D42" s="4"/>
      <c r="E42" s="4"/>
      <c r="F42" s="36"/>
      <c r="G42" s="36"/>
      <c r="H42" s="4"/>
      <c r="I42" s="36"/>
      <c r="J42" s="41"/>
      <c r="K42" s="41"/>
      <c r="L42" s="8"/>
      <c r="M42" s="4"/>
    </row>
    <row r="43" spans="1:13">
      <c r="A43" s="9"/>
      <c r="B43" s="9"/>
      <c r="C43" s="5"/>
      <c r="D43" s="5"/>
      <c r="E43" s="5"/>
      <c r="F43" s="28"/>
      <c r="G43" s="28"/>
      <c r="H43" s="5"/>
      <c r="I43" s="28"/>
      <c r="J43" s="15"/>
      <c r="K43" s="15"/>
      <c r="L43" s="10"/>
      <c r="M43" s="5"/>
    </row>
    <row r="44" spans="1:13">
      <c r="A44" s="7"/>
      <c r="B44" s="7"/>
      <c r="C44" s="4"/>
      <c r="D44" s="4"/>
      <c r="E44" s="4"/>
      <c r="F44" s="36"/>
      <c r="G44" s="36"/>
      <c r="H44" s="4"/>
      <c r="I44" s="36"/>
      <c r="J44" s="41"/>
      <c r="K44" s="41"/>
      <c r="L44" s="8"/>
      <c r="M44" s="4"/>
    </row>
    <row r="45" spans="1:13">
      <c r="A45" s="9"/>
      <c r="B45" s="9"/>
      <c r="C45" s="5"/>
      <c r="D45" s="5"/>
      <c r="E45" s="5"/>
      <c r="F45" s="28"/>
      <c r="G45" s="28"/>
      <c r="H45" s="5"/>
      <c r="I45" s="28"/>
      <c r="J45" s="15"/>
      <c r="K45" s="15"/>
      <c r="L45" s="10"/>
      <c r="M45" s="5"/>
    </row>
    <row r="46" spans="1:13">
      <c r="A46" s="7"/>
      <c r="B46" s="7"/>
      <c r="C46" s="4"/>
      <c r="D46" s="4"/>
      <c r="E46" s="4"/>
      <c r="F46" s="36"/>
      <c r="G46" s="36"/>
      <c r="H46" s="4"/>
      <c r="I46" s="36"/>
      <c r="J46" s="41"/>
      <c r="K46" s="41"/>
      <c r="L46" s="8"/>
      <c r="M46" s="4"/>
    </row>
    <row r="47" spans="1:13">
      <c r="A47" s="9"/>
      <c r="B47" s="9"/>
      <c r="C47" s="5"/>
      <c r="D47" s="5"/>
      <c r="E47" s="5"/>
      <c r="F47" s="28"/>
      <c r="G47" s="28"/>
      <c r="H47" s="5"/>
      <c r="I47" s="28"/>
      <c r="J47" s="15"/>
      <c r="K47" s="15"/>
      <c r="L47" s="10"/>
      <c r="M47" s="5"/>
    </row>
    <row r="48" spans="1:13">
      <c r="A48" s="7"/>
      <c r="B48" s="7"/>
      <c r="C48" s="4"/>
      <c r="D48" s="4"/>
      <c r="E48" s="4"/>
      <c r="F48" s="36"/>
      <c r="G48" s="36"/>
      <c r="H48" s="4"/>
      <c r="I48" s="36"/>
      <c r="J48" s="41"/>
      <c r="K48" s="41"/>
      <c r="L48" s="8"/>
      <c r="M48" s="4"/>
    </row>
    <row r="49" spans="1:13">
      <c r="A49" s="9"/>
      <c r="B49" s="9"/>
      <c r="C49" s="5"/>
      <c r="D49" s="5"/>
      <c r="E49" s="5"/>
      <c r="F49" s="28"/>
      <c r="G49" s="28"/>
      <c r="H49" s="5"/>
      <c r="I49" s="28"/>
      <c r="J49" s="15"/>
      <c r="K49" s="15"/>
      <c r="L49" s="10"/>
      <c r="M49" s="5"/>
    </row>
    <row r="50" spans="1:13">
      <c r="A50" s="7"/>
      <c r="B50" s="7"/>
      <c r="C50" s="4"/>
      <c r="D50" s="4"/>
      <c r="E50" s="4"/>
      <c r="F50" s="36"/>
      <c r="G50" s="36"/>
      <c r="H50" s="4"/>
      <c r="I50" s="36"/>
      <c r="J50" s="41"/>
      <c r="K50" s="41"/>
      <c r="L50" s="8"/>
      <c r="M50" s="4"/>
    </row>
    <row r="51" spans="1:13">
      <c r="A51" s="9"/>
      <c r="B51" s="9"/>
      <c r="C51" s="5"/>
      <c r="D51" s="5"/>
      <c r="E51" s="5"/>
      <c r="F51" s="28"/>
      <c r="G51" s="28"/>
      <c r="H51" s="5"/>
      <c r="I51" s="28"/>
      <c r="J51" s="15"/>
      <c r="K51" s="15"/>
      <c r="L51" s="10"/>
      <c r="M51" s="5"/>
    </row>
    <row r="52" spans="1:13">
      <c r="A52" s="7"/>
      <c r="B52" s="7"/>
      <c r="C52" s="4"/>
      <c r="D52" s="4"/>
      <c r="E52" s="4"/>
      <c r="F52" s="36"/>
      <c r="G52" s="36"/>
      <c r="H52" s="4"/>
      <c r="I52" s="36"/>
      <c r="J52" s="41"/>
      <c r="K52" s="41"/>
      <c r="L52" s="8"/>
      <c r="M52" s="4"/>
    </row>
    <row r="53" spans="1:13">
      <c r="A53" s="9"/>
      <c r="B53" s="9"/>
      <c r="C53" s="5"/>
      <c r="D53" s="5"/>
      <c r="E53" s="5"/>
      <c r="F53" s="28"/>
      <c r="G53" s="28"/>
      <c r="H53" s="5"/>
      <c r="I53" s="28"/>
      <c r="J53" s="15"/>
      <c r="K53" s="15"/>
      <c r="L53" s="10"/>
      <c r="M53" s="5"/>
    </row>
    <row r="54" spans="1:13">
      <c r="A54" s="7"/>
      <c r="B54" s="7"/>
      <c r="C54" s="4"/>
      <c r="D54" s="4"/>
      <c r="E54" s="4"/>
      <c r="F54" s="36"/>
      <c r="G54" s="36"/>
      <c r="H54" s="4"/>
      <c r="I54" s="36"/>
      <c r="J54" s="41"/>
      <c r="K54" s="41"/>
      <c r="L54" s="8"/>
      <c r="M54" s="4"/>
    </row>
    <row r="55" spans="1:13">
      <c r="A55" s="9"/>
      <c r="B55" s="9"/>
      <c r="C55" s="5"/>
      <c r="D55" s="5"/>
      <c r="E55" s="5"/>
      <c r="F55" s="28"/>
      <c r="G55" s="28"/>
      <c r="H55" s="5"/>
      <c r="I55" s="28"/>
      <c r="J55" s="15"/>
      <c r="K55" s="15"/>
      <c r="L55" s="10"/>
      <c r="M55" s="5"/>
    </row>
    <row r="56" spans="1:13">
      <c r="A56" s="7"/>
      <c r="B56" s="7"/>
      <c r="C56" s="4"/>
      <c r="D56" s="4"/>
      <c r="E56" s="4"/>
      <c r="F56" s="36"/>
      <c r="G56" s="36"/>
      <c r="H56" s="4"/>
      <c r="I56" s="36"/>
      <c r="J56" s="41"/>
      <c r="K56" s="41"/>
      <c r="L56" s="8"/>
      <c r="M56" s="4"/>
    </row>
    <row r="57" spans="1:13">
      <c r="A57" s="9"/>
      <c r="B57" s="9"/>
      <c r="C57" s="5"/>
      <c r="D57" s="5"/>
      <c r="E57" s="5"/>
      <c r="F57" s="28"/>
      <c r="G57" s="28"/>
      <c r="H57" s="5"/>
      <c r="I57" s="28"/>
      <c r="J57" s="15"/>
      <c r="K57" s="15"/>
      <c r="L57" s="10"/>
      <c r="M57" s="5"/>
    </row>
    <row r="58" spans="1:13">
      <c r="A58" s="7"/>
      <c r="B58" s="7"/>
      <c r="C58" s="4"/>
      <c r="D58" s="4"/>
      <c r="E58" s="4"/>
      <c r="F58" s="36"/>
      <c r="G58" s="36"/>
      <c r="H58" s="4"/>
      <c r="I58" s="36"/>
      <c r="J58" s="41"/>
      <c r="K58" s="41"/>
      <c r="L58" s="8"/>
      <c r="M58" s="4"/>
    </row>
    <row r="59" spans="1:13">
      <c r="A59" s="9"/>
      <c r="B59" s="9"/>
      <c r="C59" s="5"/>
      <c r="D59" s="5"/>
      <c r="E59" s="5"/>
      <c r="F59" s="28"/>
      <c r="G59" s="28"/>
      <c r="H59" s="5"/>
      <c r="I59" s="28"/>
      <c r="J59" s="15"/>
      <c r="K59" s="15"/>
      <c r="L59" s="10"/>
      <c r="M59" s="5"/>
    </row>
    <row r="60" spans="1:13">
      <c r="A60" s="7"/>
      <c r="B60" s="7"/>
      <c r="C60" s="4"/>
      <c r="D60" s="4"/>
      <c r="E60" s="4"/>
      <c r="F60" s="36"/>
      <c r="G60" s="36"/>
      <c r="H60" s="4"/>
      <c r="I60" s="36"/>
      <c r="J60" s="41"/>
      <c r="K60" s="41"/>
      <c r="L60" s="8"/>
      <c r="M60" s="4"/>
    </row>
  </sheetData>
  <autoFilter ref="A3:M60" xr:uid="{00000000-0009-0000-0000-000004000000}"/>
  <customSheetViews>
    <customSheetView guid="{4FF6BE25-937E-494D-AC54-A20606835592}" showGridLines="0" showAutoFilter="1">
      <pane ySplit="3" topLeftCell="A4" activePane="bottomLeft" state="frozen"/>
      <selection pane="bottomLeft" sqref="A1:L1"/>
      <pageMargins left="0" right="0" top="0" bottom="0" header="0" footer="0"/>
      <pageSetup paperSize="9" orientation="portrait" horizontalDpi="300" verticalDpi="300"/>
      <autoFilter ref="A3:L60" xr:uid="{AA6DAF4E-DAB8-40ED-B395-B7431916348F}"/>
    </customSheetView>
  </customSheetViews>
  <conditionalFormatting sqref="F4:F60">
    <cfRule type="expression" dxfId="13" priority="7">
      <formula>F4="Critical"</formula>
    </cfRule>
    <cfRule type="expression" dxfId="12" priority="8">
      <formula>F4="High"</formula>
    </cfRule>
    <cfRule type="expression" dxfId="11" priority="9">
      <formula>F4="Medium"</formula>
    </cfRule>
    <cfRule type="expression" dxfId="10" priority="10">
      <formula>F4="Low"</formula>
    </cfRule>
  </conditionalFormatting>
  <conditionalFormatting sqref="I4:I60">
    <cfRule type="expression" dxfId="9" priority="2">
      <formula>I4="Open"</formula>
    </cfRule>
    <cfRule type="expression" dxfId="8" priority="3">
      <formula>I4="Escalated"</formula>
    </cfRule>
    <cfRule type="expression" dxfId="7" priority="4">
      <formula>I4="In Progress"</formula>
    </cfRule>
    <cfRule type="expression" dxfId="6" priority="5">
      <formula>I4="Mitigated"</formula>
    </cfRule>
    <cfRule type="expression" dxfId="5" priority="6">
      <formula>I4="Closed"</formula>
    </cfRule>
  </conditionalFormatting>
  <dataValidations count="4">
    <dataValidation type="list" allowBlank="1" sqref="C4:C60" xr:uid="{00000000-0002-0000-0400-000000000000}">
      <formula1>CategoryList</formula1>
      <formula2>0</formula2>
    </dataValidation>
    <dataValidation type="list" allowBlank="1" sqref="F4:F60" xr:uid="{00000000-0002-0000-0400-000001000000}">
      <formula1>PriorityList</formula1>
      <formula2>0</formula2>
    </dataValidation>
    <dataValidation type="list" allowBlank="1" sqref="I4:I60" xr:uid="{00000000-0002-0000-0400-000002000000}">
      <formula1>StatusList</formula1>
      <formula2>0</formula2>
    </dataValidation>
    <dataValidation type="list" allowBlank="1" showInputMessage="1" showErrorMessage="1" sqref="B1:B1048576" xr:uid="{4B78132C-DC80-4E2F-B61B-EEC5810D8084}">
      <formula1>Track</formula1>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75623"/>
  </sheetPr>
  <dimension ref="A1:K54"/>
  <sheetViews>
    <sheetView showGridLines="0" tabSelected="1" zoomScale="115" zoomScaleNormal="115" workbookViewId="0">
      <pane ySplit="3" topLeftCell="A10" activePane="bottomLeft" state="frozen"/>
      <selection pane="bottomLeft" activeCell="H11" sqref="H11"/>
    </sheetView>
  </sheetViews>
  <sheetFormatPr defaultColWidth="8.7109375" defaultRowHeight="14.45"/>
  <cols>
    <col min="1" max="1" width="9.28515625" customWidth="1"/>
    <col min="2" max="2" width="10.28515625" bestFit="1" customWidth="1"/>
    <col min="3" max="3" width="38" customWidth="1"/>
    <col min="4" max="4" width="17.28515625" style="16" bestFit="1" customWidth="1"/>
    <col min="5" max="5" width="13.28515625" style="16" bestFit="1" customWidth="1"/>
    <col min="6" max="6" width="15" style="22" bestFit="1" customWidth="1"/>
    <col min="7" max="7" width="34" customWidth="1"/>
    <col min="8" max="8" width="13" customWidth="1"/>
    <col min="9" max="9" width="15" style="25" customWidth="1"/>
    <col min="10" max="10" width="15" customWidth="1"/>
    <col min="11" max="11" width="30" customWidth="1"/>
  </cols>
  <sheetData>
    <row r="1" spans="1:11" ht="27.75" customHeight="1">
      <c r="A1" s="14" t="s">
        <v>197</v>
      </c>
      <c r="B1" s="14"/>
      <c r="C1" s="14"/>
      <c r="D1" s="26"/>
      <c r="E1" s="26"/>
      <c r="F1" s="17"/>
      <c r="G1" s="14"/>
      <c r="H1" s="14"/>
      <c r="I1" s="17"/>
      <c r="J1" s="14"/>
      <c r="K1" s="14"/>
    </row>
    <row r="2" spans="1:11" ht="15.75" customHeight="1">
      <c r="A2" s="1" t="s">
        <v>198</v>
      </c>
      <c r="B2" s="1"/>
      <c r="C2" s="1"/>
      <c r="D2" s="27"/>
      <c r="E2" s="27"/>
      <c r="F2" s="18"/>
      <c r="G2" s="1"/>
      <c r="H2" s="1"/>
      <c r="I2" s="18"/>
      <c r="J2" s="1"/>
      <c r="K2" s="1"/>
    </row>
    <row r="3" spans="1:11" ht="31.5" customHeight="1">
      <c r="A3" s="3" t="s">
        <v>199</v>
      </c>
      <c r="B3" s="3" t="s">
        <v>23</v>
      </c>
      <c r="C3" s="3" t="s">
        <v>200</v>
      </c>
      <c r="D3" s="3" t="s">
        <v>201</v>
      </c>
      <c r="E3" s="3" t="s">
        <v>29</v>
      </c>
      <c r="F3" s="19" t="s">
        <v>202</v>
      </c>
      <c r="G3" s="3" t="s">
        <v>203</v>
      </c>
      <c r="H3" s="3" t="s">
        <v>25</v>
      </c>
      <c r="I3" s="19" t="s">
        <v>32</v>
      </c>
      <c r="J3" s="3" t="s">
        <v>185</v>
      </c>
      <c r="K3" s="3" t="s">
        <v>35</v>
      </c>
    </row>
    <row r="4" spans="1:11" ht="27" customHeight="1">
      <c r="A4" s="9" t="s">
        <v>204</v>
      </c>
      <c r="B4" s="9" t="s">
        <v>205</v>
      </c>
      <c r="C4" s="5" t="s">
        <v>206</v>
      </c>
      <c r="D4" s="28" t="s">
        <v>207</v>
      </c>
      <c r="E4" s="28" t="s">
        <v>208</v>
      </c>
      <c r="F4" s="21" t="s">
        <v>209</v>
      </c>
      <c r="G4" s="5" t="s">
        <v>210</v>
      </c>
      <c r="H4" s="5" t="s">
        <v>4</v>
      </c>
      <c r="I4" s="23">
        <v>46204</v>
      </c>
      <c r="J4" s="10"/>
      <c r="K4" s="5"/>
    </row>
    <row r="5" spans="1:11">
      <c r="A5" s="9" t="s">
        <v>211</v>
      </c>
      <c r="B5" s="7" t="s">
        <v>205</v>
      </c>
      <c r="C5" s="4" t="s">
        <v>212</v>
      </c>
      <c r="D5" s="36" t="s">
        <v>213</v>
      </c>
      <c r="E5" s="28" t="s">
        <v>208</v>
      </c>
      <c r="F5" s="20" t="s">
        <v>214</v>
      </c>
      <c r="G5" s="5" t="s">
        <v>215</v>
      </c>
      <c r="H5" s="5" t="s">
        <v>4</v>
      </c>
      <c r="I5" s="23">
        <v>46205</v>
      </c>
      <c r="J5" s="8"/>
      <c r="K5" s="4"/>
    </row>
    <row r="6" spans="1:11" ht="26.45">
      <c r="A6" s="9" t="s">
        <v>216</v>
      </c>
      <c r="B6" s="7" t="s">
        <v>37</v>
      </c>
      <c r="C6" s="4" t="s">
        <v>217</v>
      </c>
      <c r="D6" s="36" t="s">
        <v>218</v>
      </c>
      <c r="E6" s="36" t="s">
        <v>219</v>
      </c>
      <c r="F6" s="20" t="s">
        <v>220</v>
      </c>
      <c r="G6" s="5" t="s">
        <v>215</v>
      </c>
      <c r="H6" s="5" t="s">
        <v>4</v>
      </c>
      <c r="I6" s="23">
        <v>46188</v>
      </c>
      <c r="J6" s="8"/>
      <c r="K6" s="4"/>
    </row>
    <row r="7" spans="1:11">
      <c r="A7" s="9" t="s">
        <v>221</v>
      </c>
      <c r="B7" s="7" t="s">
        <v>222</v>
      </c>
      <c r="C7" s="4" t="s">
        <v>223</v>
      </c>
      <c r="D7" s="36" t="s">
        <v>224</v>
      </c>
      <c r="E7" s="36" t="s">
        <v>225</v>
      </c>
      <c r="F7" s="20">
        <v>46234</v>
      </c>
      <c r="G7" s="4" t="s">
        <v>226</v>
      </c>
      <c r="H7" s="4" t="s">
        <v>4</v>
      </c>
      <c r="I7" s="23">
        <v>46195</v>
      </c>
      <c r="J7" s="8"/>
      <c r="K7" s="4"/>
    </row>
    <row r="8" spans="1:11" ht="26.45">
      <c r="A8" s="9" t="s">
        <v>227</v>
      </c>
      <c r="B8" s="9" t="s">
        <v>43</v>
      </c>
      <c r="C8" s="5" t="s">
        <v>228</v>
      </c>
      <c r="D8" s="28" t="s">
        <v>229</v>
      </c>
      <c r="E8" s="28" t="s">
        <v>230</v>
      </c>
      <c r="F8" s="20">
        <v>46218</v>
      </c>
      <c r="G8" s="5" t="s">
        <v>231</v>
      </c>
      <c r="H8" s="5" t="s">
        <v>6</v>
      </c>
      <c r="I8" s="23">
        <v>46217</v>
      </c>
      <c r="J8" s="10"/>
      <c r="K8" s="5"/>
    </row>
    <row r="9" spans="1:11">
      <c r="A9" s="9" t="s">
        <v>232</v>
      </c>
      <c r="B9" s="7" t="s">
        <v>142</v>
      </c>
      <c r="C9" s="4" t="s">
        <v>233</v>
      </c>
      <c r="D9" s="36"/>
      <c r="E9" s="36"/>
      <c r="F9" s="20"/>
      <c r="G9" s="4"/>
      <c r="H9" s="4"/>
      <c r="I9" s="23"/>
      <c r="J9" s="8"/>
      <c r="K9" s="4"/>
    </row>
    <row r="10" spans="1:11" ht="145.15">
      <c r="A10" s="7" t="s">
        <v>234</v>
      </c>
      <c r="B10" s="7" t="s">
        <v>43</v>
      </c>
      <c r="C10" s="4" t="s">
        <v>235</v>
      </c>
      <c r="D10" s="36" t="s">
        <v>236</v>
      </c>
      <c r="E10" s="36" t="s">
        <v>237</v>
      </c>
      <c r="F10" s="56" t="s">
        <v>238</v>
      </c>
      <c r="G10" s="4" t="s">
        <v>239</v>
      </c>
      <c r="H10" s="4" t="s">
        <v>4</v>
      </c>
      <c r="I10" s="23">
        <v>46223</v>
      </c>
      <c r="J10" s="8"/>
      <c r="K10" s="4" t="s">
        <v>240</v>
      </c>
    </row>
    <row r="11" spans="1:11" ht="96">
      <c r="A11" s="9" t="s">
        <v>241</v>
      </c>
      <c r="B11" s="9" t="s">
        <v>43</v>
      </c>
      <c r="C11" s="5" t="s">
        <v>242</v>
      </c>
      <c r="D11" s="21" t="s">
        <v>243</v>
      </c>
      <c r="E11" s="28" t="s">
        <v>244</v>
      </c>
      <c r="F11" s="21" t="s">
        <v>238</v>
      </c>
      <c r="G11" s="5" t="s">
        <v>245</v>
      </c>
      <c r="H11" s="5" t="s">
        <v>5</v>
      </c>
      <c r="I11" s="24">
        <v>46223</v>
      </c>
      <c r="J11" s="10"/>
      <c r="K11" s="5" t="s">
        <v>246</v>
      </c>
    </row>
    <row r="12" spans="1:11" ht="14.25">
      <c r="A12" s="7"/>
      <c r="B12" t="s">
        <v>149</v>
      </c>
      <c r="C12" t="s">
        <v>247</v>
      </c>
      <c r="D12" s="28" t="s">
        <v>207</v>
      </c>
      <c r="E12" s="28" t="s">
        <v>208</v>
      </c>
      <c r="F12" s="20">
        <v>46234</v>
      </c>
      <c r="G12" s="4"/>
      <c r="H12" s="4"/>
      <c r="I12" s="23"/>
      <c r="J12" s="8"/>
      <c r="K12" s="4"/>
    </row>
    <row r="13" spans="1:11">
      <c r="A13" s="9"/>
      <c r="B13" s="9"/>
      <c r="C13" s="5"/>
      <c r="D13" s="28"/>
      <c r="E13" s="28"/>
      <c r="F13" s="21"/>
      <c r="G13" s="5"/>
      <c r="H13" s="5"/>
      <c r="I13" s="24"/>
      <c r="J13" s="10"/>
      <c r="K13" s="5"/>
    </row>
    <row r="14" spans="1:11">
      <c r="A14" s="7"/>
      <c r="B14" s="7"/>
      <c r="C14" s="4"/>
      <c r="D14" s="36"/>
      <c r="E14" s="36"/>
      <c r="F14" s="20"/>
      <c r="G14" s="4"/>
      <c r="H14" s="4"/>
      <c r="I14" s="23"/>
      <c r="J14" s="8"/>
      <c r="K14" s="4"/>
    </row>
    <row r="15" spans="1:11">
      <c r="A15" s="9"/>
      <c r="B15" s="9"/>
      <c r="C15" s="5"/>
      <c r="D15" s="28"/>
      <c r="E15" s="28"/>
      <c r="F15" s="21"/>
      <c r="G15" s="5"/>
      <c r="H15" s="5"/>
      <c r="I15" s="24"/>
      <c r="J15" s="10"/>
      <c r="K15" s="5"/>
    </row>
    <row r="16" spans="1:11">
      <c r="A16" s="7"/>
      <c r="B16" s="7"/>
      <c r="C16" s="4"/>
      <c r="D16" s="36"/>
      <c r="E16" s="36"/>
      <c r="F16" s="20"/>
      <c r="G16" s="4"/>
      <c r="H16" s="4"/>
      <c r="I16" s="23"/>
      <c r="J16" s="8"/>
      <c r="K16" s="4"/>
    </row>
    <row r="17" spans="1:11">
      <c r="A17" s="9"/>
      <c r="B17" s="9"/>
      <c r="C17" s="5"/>
      <c r="D17" s="28"/>
      <c r="E17" s="28"/>
      <c r="F17" s="21"/>
      <c r="G17" s="5"/>
      <c r="H17" s="5"/>
      <c r="I17" s="24"/>
      <c r="J17" s="10"/>
      <c r="K17" s="5"/>
    </row>
    <row r="18" spans="1:11">
      <c r="A18" s="7"/>
      <c r="B18" s="7"/>
      <c r="C18" s="4"/>
      <c r="D18" s="36"/>
      <c r="E18" s="36"/>
      <c r="F18" s="20"/>
      <c r="G18" s="4"/>
      <c r="H18" s="4"/>
      <c r="I18" s="23"/>
      <c r="J18" s="8"/>
      <c r="K18" s="4"/>
    </row>
    <row r="19" spans="1:11">
      <c r="A19" s="9"/>
      <c r="B19" s="9"/>
      <c r="C19" s="5"/>
      <c r="D19" s="28"/>
      <c r="E19" s="28"/>
      <c r="F19" s="21"/>
      <c r="G19" s="5"/>
      <c r="H19" s="5"/>
      <c r="I19" s="24"/>
      <c r="J19" s="10"/>
      <c r="K19" s="5"/>
    </row>
    <row r="20" spans="1:11">
      <c r="A20" s="7"/>
      <c r="B20" s="7"/>
      <c r="C20" s="4"/>
      <c r="D20" s="36"/>
      <c r="E20" s="36"/>
      <c r="F20" s="20"/>
      <c r="G20" s="4"/>
      <c r="H20" s="4"/>
      <c r="I20" s="23"/>
      <c r="J20" s="8"/>
      <c r="K20" s="4"/>
    </row>
    <row r="21" spans="1:11">
      <c r="A21" s="9"/>
      <c r="B21" s="9"/>
      <c r="C21" s="5"/>
      <c r="D21" s="28"/>
      <c r="E21" s="28"/>
      <c r="F21" s="21"/>
      <c r="G21" s="5"/>
      <c r="H21" s="5"/>
      <c r="I21" s="24"/>
      <c r="J21" s="10"/>
      <c r="K21" s="5"/>
    </row>
    <row r="22" spans="1:11">
      <c r="A22" s="7"/>
      <c r="B22" s="7"/>
      <c r="C22" s="4"/>
      <c r="D22" s="36"/>
      <c r="E22" s="36"/>
      <c r="F22" s="20"/>
      <c r="G22" s="4"/>
      <c r="H22" s="4"/>
      <c r="I22" s="23"/>
      <c r="J22" s="8"/>
      <c r="K22" s="4"/>
    </row>
    <row r="23" spans="1:11">
      <c r="A23" s="9"/>
      <c r="B23" s="9"/>
      <c r="C23" s="5"/>
      <c r="D23" s="28"/>
      <c r="E23" s="28"/>
      <c r="F23" s="21"/>
      <c r="G23" s="5"/>
      <c r="H23" s="5"/>
      <c r="I23" s="24"/>
      <c r="J23" s="10"/>
      <c r="K23" s="5"/>
    </row>
    <row r="24" spans="1:11">
      <c r="A24" s="7"/>
      <c r="B24" s="7"/>
      <c r="C24" s="4"/>
      <c r="D24" s="36"/>
      <c r="E24" s="36"/>
      <c r="F24" s="20"/>
      <c r="G24" s="4"/>
      <c r="H24" s="4"/>
      <c r="I24" s="23"/>
      <c r="J24" s="8"/>
      <c r="K24" s="4"/>
    </row>
    <row r="25" spans="1:11">
      <c r="A25" s="9"/>
      <c r="B25" s="9"/>
      <c r="C25" s="5"/>
      <c r="D25" s="28"/>
      <c r="E25" s="28"/>
      <c r="F25" s="21"/>
      <c r="G25" s="5"/>
      <c r="H25" s="5"/>
      <c r="I25" s="24"/>
      <c r="J25" s="10"/>
      <c r="K25" s="5"/>
    </row>
    <row r="26" spans="1:11">
      <c r="A26" s="7"/>
      <c r="B26" s="7"/>
      <c r="C26" s="4"/>
      <c r="D26" s="36"/>
      <c r="E26" s="36"/>
      <c r="F26" s="20"/>
      <c r="G26" s="4"/>
      <c r="H26" s="4"/>
      <c r="I26" s="23"/>
      <c r="J26" s="8"/>
      <c r="K26" s="4"/>
    </row>
    <row r="27" spans="1:11">
      <c r="A27" s="9"/>
      <c r="B27" s="9"/>
      <c r="C27" s="5"/>
      <c r="D27" s="28"/>
      <c r="E27" s="28"/>
      <c r="F27" s="21"/>
      <c r="G27" s="5"/>
      <c r="H27" s="5"/>
      <c r="I27" s="24"/>
      <c r="J27" s="10"/>
      <c r="K27" s="5"/>
    </row>
    <row r="28" spans="1:11">
      <c r="A28" s="7"/>
      <c r="B28" s="7"/>
      <c r="C28" s="4"/>
      <c r="D28" s="36"/>
      <c r="E28" s="36"/>
      <c r="F28" s="20"/>
      <c r="G28" s="4"/>
      <c r="H28" s="4"/>
      <c r="I28" s="23"/>
      <c r="J28" s="8"/>
      <c r="K28" s="4"/>
    </row>
    <row r="29" spans="1:11">
      <c r="A29" s="9"/>
      <c r="B29" s="9"/>
      <c r="C29" s="5"/>
      <c r="D29" s="28"/>
      <c r="E29" s="28"/>
      <c r="F29" s="21"/>
      <c r="G29" s="5"/>
      <c r="H29" s="5"/>
      <c r="I29" s="24"/>
      <c r="J29" s="10"/>
      <c r="K29" s="5"/>
    </row>
    <row r="30" spans="1:11">
      <c r="A30" s="7"/>
      <c r="B30" s="7"/>
      <c r="C30" s="4"/>
      <c r="D30" s="36"/>
      <c r="E30" s="36"/>
      <c r="F30" s="20"/>
      <c r="G30" s="4"/>
      <c r="H30" s="4"/>
      <c r="I30" s="23"/>
      <c r="J30" s="8"/>
      <c r="K30" s="4"/>
    </row>
    <row r="31" spans="1:11">
      <c r="A31" s="9"/>
      <c r="B31" s="9"/>
      <c r="C31" s="5"/>
      <c r="D31" s="28"/>
      <c r="E31" s="28"/>
      <c r="F31" s="21"/>
      <c r="G31" s="5"/>
      <c r="H31" s="5"/>
      <c r="I31" s="24"/>
      <c r="J31" s="10"/>
      <c r="K31" s="5"/>
    </row>
    <row r="32" spans="1:11">
      <c r="A32" s="7"/>
      <c r="B32" s="7"/>
      <c r="C32" s="4"/>
      <c r="D32" s="36"/>
      <c r="E32" s="36"/>
      <c r="F32" s="20"/>
      <c r="G32" s="4"/>
      <c r="H32" s="4"/>
      <c r="I32" s="23"/>
      <c r="J32" s="8"/>
      <c r="K32" s="4"/>
    </row>
    <row r="33" spans="1:11">
      <c r="A33" s="9"/>
      <c r="B33" s="9"/>
      <c r="C33" s="5"/>
      <c r="D33" s="28"/>
      <c r="E33" s="28"/>
      <c r="F33" s="21"/>
      <c r="G33" s="5"/>
      <c r="H33" s="5"/>
      <c r="I33" s="24"/>
      <c r="J33" s="10"/>
      <c r="K33" s="5"/>
    </row>
    <row r="34" spans="1:11">
      <c r="A34" s="7"/>
      <c r="B34" s="7"/>
      <c r="C34" s="4"/>
      <c r="D34" s="36"/>
      <c r="E34" s="36"/>
      <c r="F34" s="20"/>
      <c r="G34" s="4"/>
      <c r="H34" s="4"/>
      <c r="I34" s="23"/>
      <c r="J34" s="8"/>
      <c r="K34" s="4"/>
    </row>
    <row r="35" spans="1:11">
      <c r="A35" s="9"/>
      <c r="B35" s="9"/>
      <c r="C35" s="5"/>
      <c r="D35" s="28"/>
      <c r="E35" s="28"/>
      <c r="F35" s="21"/>
      <c r="G35" s="5"/>
      <c r="H35" s="5"/>
      <c r="I35" s="24"/>
      <c r="J35" s="10"/>
      <c r="K35" s="5"/>
    </row>
    <row r="36" spans="1:11">
      <c r="A36" s="7"/>
      <c r="B36" s="7"/>
      <c r="C36" s="4"/>
      <c r="D36" s="36"/>
      <c r="E36" s="36"/>
      <c r="F36" s="20"/>
      <c r="G36" s="4"/>
      <c r="H36" s="4"/>
      <c r="I36" s="23"/>
      <c r="J36" s="8"/>
      <c r="K36" s="4"/>
    </row>
    <row r="37" spans="1:11">
      <c r="A37" s="9"/>
      <c r="B37" s="9"/>
      <c r="C37" s="5"/>
      <c r="D37" s="28"/>
      <c r="E37" s="28"/>
      <c r="F37" s="21"/>
      <c r="G37" s="5"/>
      <c r="H37" s="5"/>
      <c r="I37" s="24"/>
      <c r="J37" s="10"/>
      <c r="K37" s="5"/>
    </row>
    <row r="38" spans="1:11">
      <c r="A38" s="7"/>
      <c r="B38" s="7"/>
      <c r="C38" s="4"/>
      <c r="D38" s="36"/>
      <c r="E38" s="36"/>
      <c r="F38" s="20"/>
      <c r="G38" s="4"/>
      <c r="H38" s="4"/>
      <c r="I38" s="23"/>
      <c r="J38" s="8"/>
      <c r="K38" s="4"/>
    </row>
    <row r="39" spans="1:11">
      <c r="A39" s="9"/>
      <c r="B39" s="9"/>
      <c r="C39" s="5"/>
      <c r="D39" s="28"/>
      <c r="E39" s="28"/>
      <c r="F39" s="21"/>
      <c r="G39" s="5"/>
      <c r="H39" s="5"/>
      <c r="I39" s="24"/>
      <c r="J39" s="10"/>
      <c r="K39" s="5"/>
    </row>
    <row r="40" spans="1:11">
      <c r="A40" s="7"/>
      <c r="B40" s="7"/>
      <c r="C40" s="4"/>
      <c r="D40" s="36"/>
      <c r="E40" s="36"/>
      <c r="F40" s="20"/>
      <c r="G40" s="4"/>
      <c r="H40" s="4"/>
      <c r="I40" s="23"/>
      <c r="J40" s="8"/>
      <c r="K40" s="4"/>
    </row>
    <row r="41" spans="1:11">
      <c r="A41" s="9"/>
      <c r="B41" s="9"/>
      <c r="C41" s="5"/>
      <c r="D41" s="28"/>
      <c r="E41" s="28"/>
      <c r="F41" s="21"/>
      <c r="G41" s="5"/>
      <c r="H41" s="5"/>
      <c r="I41" s="24"/>
      <c r="J41" s="10"/>
      <c r="K41" s="5"/>
    </row>
    <row r="42" spans="1:11">
      <c r="A42" s="7"/>
      <c r="B42" s="7"/>
      <c r="C42" s="4"/>
      <c r="D42" s="36"/>
      <c r="E42" s="36"/>
      <c r="F42" s="20"/>
      <c r="G42" s="4"/>
      <c r="H42" s="4"/>
      <c r="I42" s="23"/>
      <c r="J42" s="8"/>
      <c r="K42" s="4"/>
    </row>
    <row r="43" spans="1:11">
      <c r="A43" s="9"/>
      <c r="B43" s="9"/>
      <c r="C43" s="5"/>
      <c r="D43" s="28"/>
      <c r="E43" s="28"/>
      <c r="F43" s="21"/>
      <c r="G43" s="5"/>
      <c r="H43" s="5"/>
      <c r="I43" s="24"/>
      <c r="J43" s="10"/>
      <c r="K43" s="5"/>
    </row>
    <row r="44" spans="1:11">
      <c r="A44" s="7"/>
      <c r="B44" s="7"/>
      <c r="C44" s="4"/>
      <c r="D44" s="36"/>
      <c r="E44" s="36"/>
      <c r="F44" s="20"/>
      <c r="G44" s="4"/>
      <c r="H44" s="4"/>
      <c r="I44" s="23"/>
      <c r="J44" s="8"/>
      <c r="K44" s="4"/>
    </row>
    <row r="45" spans="1:11">
      <c r="A45" s="9"/>
      <c r="B45" s="9"/>
      <c r="C45" s="5"/>
      <c r="D45" s="28"/>
      <c r="E45" s="28"/>
      <c r="F45" s="21"/>
      <c r="G45" s="5"/>
      <c r="H45" s="5"/>
      <c r="I45" s="24"/>
      <c r="J45" s="10"/>
      <c r="K45" s="5"/>
    </row>
    <row r="46" spans="1:11">
      <c r="A46" s="7"/>
      <c r="B46" s="7"/>
      <c r="C46" s="4"/>
      <c r="D46" s="36"/>
      <c r="E46" s="36"/>
      <c r="F46" s="20"/>
      <c r="G46" s="4"/>
      <c r="H46" s="4"/>
      <c r="I46" s="23"/>
      <c r="J46" s="8"/>
      <c r="K46" s="4"/>
    </row>
    <row r="47" spans="1:11">
      <c r="A47" s="9"/>
      <c r="B47" s="9"/>
      <c r="C47" s="5"/>
      <c r="D47" s="28"/>
      <c r="E47" s="28"/>
      <c r="F47" s="21"/>
      <c r="G47" s="5"/>
      <c r="H47" s="5"/>
      <c r="I47" s="24"/>
      <c r="J47" s="10"/>
      <c r="K47" s="5"/>
    </row>
    <row r="48" spans="1:11">
      <c r="A48" s="7"/>
      <c r="B48" s="7"/>
      <c r="C48" s="4"/>
      <c r="D48" s="36"/>
      <c r="E48" s="36"/>
      <c r="F48" s="20"/>
      <c r="G48" s="4"/>
      <c r="H48" s="4"/>
      <c r="I48" s="23"/>
      <c r="J48" s="8"/>
      <c r="K48" s="4"/>
    </row>
    <row r="49" spans="1:11">
      <c r="A49" s="9"/>
      <c r="B49" s="9"/>
      <c r="C49" s="5"/>
      <c r="D49" s="28"/>
      <c r="E49" s="28"/>
      <c r="F49" s="21"/>
      <c r="G49" s="5"/>
      <c r="H49" s="5"/>
      <c r="I49" s="24"/>
      <c r="J49" s="10"/>
      <c r="K49" s="5"/>
    </row>
    <row r="50" spans="1:11">
      <c r="A50" s="7"/>
      <c r="B50" s="7"/>
      <c r="C50" s="4"/>
      <c r="D50" s="36"/>
      <c r="E50" s="36"/>
      <c r="F50" s="20"/>
      <c r="G50" s="4"/>
      <c r="H50" s="4"/>
      <c r="I50" s="23"/>
      <c r="J50" s="8"/>
      <c r="K50" s="4"/>
    </row>
    <row r="51" spans="1:11">
      <c r="A51" s="9"/>
      <c r="B51" s="9"/>
      <c r="C51" s="5"/>
      <c r="D51" s="28"/>
      <c r="E51" s="28"/>
      <c r="F51" s="21"/>
      <c r="G51" s="5"/>
      <c r="H51" s="5"/>
      <c r="I51" s="24"/>
      <c r="J51" s="10"/>
      <c r="K51" s="5"/>
    </row>
    <row r="52" spans="1:11">
      <c r="A52" s="7"/>
      <c r="B52" s="7"/>
      <c r="C52" s="4"/>
      <c r="D52" s="36"/>
      <c r="E52" s="36"/>
      <c r="F52" s="20"/>
      <c r="G52" s="4"/>
      <c r="H52" s="4"/>
      <c r="I52" s="23"/>
      <c r="J52" s="8"/>
      <c r="K52" s="4"/>
    </row>
    <row r="53" spans="1:11">
      <c r="A53" s="9"/>
      <c r="B53" s="9"/>
      <c r="C53" s="5"/>
      <c r="D53" s="28"/>
      <c r="E53" s="28"/>
      <c r="F53" s="21"/>
      <c r="G53" s="5"/>
      <c r="H53" s="5"/>
      <c r="I53" s="24"/>
      <c r="J53" s="10"/>
      <c r="K53" s="5"/>
    </row>
    <row r="54" spans="1:11">
      <c r="A54" s="7"/>
      <c r="B54" s="7"/>
      <c r="C54" s="4"/>
      <c r="D54" s="36"/>
      <c r="E54" s="36"/>
      <c r="F54" s="20"/>
      <c r="G54" s="4"/>
      <c r="H54" s="4"/>
      <c r="I54" s="23"/>
      <c r="J54" s="8"/>
      <c r="K54" s="4"/>
    </row>
  </sheetData>
  <autoFilter ref="A3:K54" xr:uid="{00000000-0009-0000-0000-000005000000}">
    <sortState xmlns:xlrd2="http://schemas.microsoft.com/office/spreadsheetml/2017/richdata2" ref="A4:K54">
      <sortCondition ref="B3:B54"/>
    </sortState>
  </autoFilter>
  <customSheetViews>
    <customSheetView guid="{4FF6BE25-937E-494D-AC54-A20606835592}" showGridLines="0" showAutoFilter="1">
      <pane ySplit="3" topLeftCell="A4" activePane="bottomLeft" state="frozen"/>
      <selection pane="bottomLeft" sqref="A1:K1"/>
      <pageMargins left="0" right="0" top="0" bottom="0" header="0" footer="0"/>
      <pageSetup paperSize="9" orientation="portrait" horizontalDpi="300" verticalDpi="300"/>
      <autoFilter ref="A3:K60" xr:uid="{50FD03F7-FB2B-4E04-BE03-9880DB3A7D14}"/>
    </customSheetView>
  </customSheetViews>
  <phoneticPr fontId="10" type="noConversion"/>
  <conditionalFormatting sqref="H4:H54">
    <cfRule type="expression" dxfId="4" priority="2">
      <formula>H4="Open"</formula>
    </cfRule>
    <cfRule type="expression" dxfId="3" priority="3">
      <formula>H4="Escalated"</formula>
    </cfRule>
    <cfRule type="expression" dxfId="2" priority="4">
      <formula>H4="In Progress"</formula>
    </cfRule>
    <cfRule type="expression" dxfId="1" priority="5">
      <formula>H4="Mitigated"</formula>
    </cfRule>
    <cfRule type="expression" dxfId="0" priority="6">
      <formula>H4="Closed"</formula>
    </cfRule>
  </conditionalFormatting>
  <dataValidations count="2">
    <dataValidation type="list" allowBlank="1" sqref="H4:H54" xr:uid="{00000000-0002-0000-0500-000001000000}">
      <formula1>StatusList</formula1>
      <formula2>0</formula2>
    </dataValidation>
    <dataValidation type="list" allowBlank="1" showInputMessage="1" showErrorMessage="1" sqref="B1:B1048576" xr:uid="{CCAD2886-CAF5-462F-99C2-3A1C4F48A225}">
      <formula1>Track</formula1>
    </dataValidation>
  </dataValidations>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2"/>
  <sheetViews>
    <sheetView zoomScaleNormal="100" workbookViewId="0">
      <selection activeCell="E10" sqref="E10"/>
    </sheetView>
  </sheetViews>
  <sheetFormatPr defaultColWidth="8.7109375" defaultRowHeight="14.45"/>
  <cols>
    <col min="1" max="1" width="9.85546875" bestFit="1" customWidth="1"/>
    <col min="2" max="2" width="7.7109375" bestFit="1" customWidth="1"/>
    <col min="3" max="3" width="13.140625" bestFit="1" customWidth="1"/>
    <col min="4" max="4" width="9.140625" bestFit="1" customWidth="1"/>
    <col min="5" max="5" width="15.7109375" bestFit="1" customWidth="1"/>
    <col min="6" max="6" width="18.42578125" customWidth="1"/>
    <col min="7" max="7" width="6.5703125" bestFit="1" customWidth="1"/>
    <col min="9" max="9" width="13.140625" bestFit="1" customWidth="1"/>
    <col min="10" max="10" width="6.140625" bestFit="1" customWidth="1"/>
    <col min="11" max="11" width="13.5703125" customWidth="1"/>
    <col min="12" max="12" width="6.140625" bestFit="1" customWidth="1"/>
    <col min="13" max="13" width="6.140625" customWidth="1"/>
    <col min="14" max="14" width="11.28515625" bestFit="1" customWidth="1"/>
  </cols>
  <sheetData>
    <row r="1" spans="1:14" ht="26.45">
      <c r="A1" s="3" t="s">
        <v>25</v>
      </c>
      <c r="B1" s="3" t="s">
        <v>14</v>
      </c>
      <c r="C1" s="3" t="s">
        <v>26</v>
      </c>
      <c r="D1" s="3" t="s">
        <v>27</v>
      </c>
      <c r="E1" s="3" t="s">
        <v>2</v>
      </c>
      <c r="F1" s="3" t="s">
        <v>248</v>
      </c>
      <c r="G1" s="3" t="s">
        <v>249</v>
      </c>
      <c r="H1" s="3"/>
      <c r="I1" s="3" t="s">
        <v>250</v>
      </c>
      <c r="J1" s="3" t="s">
        <v>251</v>
      </c>
      <c r="K1" s="3" t="s">
        <v>252</v>
      </c>
      <c r="L1" s="3" t="s">
        <v>251</v>
      </c>
      <c r="M1" s="3"/>
      <c r="N1" s="3" t="s">
        <v>23</v>
      </c>
    </row>
    <row r="2" spans="1:14">
      <c r="A2" t="s">
        <v>3</v>
      </c>
      <c r="B2" t="s">
        <v>16</v>
      </c>
      <c r="C2" t="s">
        <v>253</v>
      </c>
      <c r="D2" t="s">
        <v>254</v>
      </c>
      <c r="E2" t="s">
        <v>255</v>
      </c>
      <c r="F2" t="s">
        <v>256</v>
      </c>
      <c r="G2" t="s">
        <v>257</v>
      </c>
      <c r="I2" t="s">
        <v>253</v>
      </c>
      <c r="J2">
        <v>1</v>
      </c>
      <c r="K2" t="s">
        <v>254</v>
      </c>
      <c r="L2">
        <v>1</v>
      </c>
      <c r="N2" t="s">
        <v>205</v>
      </c>
    </row>
    <row r="3" spans="1:14">
      <c r="A3" t="s">
        <v>4</v>
      </c>
      <c r="B3" t="s">
        <v>17</v>
      </c>
      <c r="C3" t="s">
        <v>258</v>
      </c>
      <c r="D3" t="s">
        <v>259</v>
      </c>
      <c r="E3" t="s">
        <v>260</v>
      </c>
      <c r="F3" t="s">
        <v>260</v>
      </c>
      <c r="G3" t="s">
        <v>261</v>
      </c>
      <c r="I3" t="s">
        <v>258</v>
      </c>
      <c r="J3">
        <v>2</v>
      </c>
      <c r="K3" t="s">
        <v>259</v>
      </c>
      <c r="L3">
        <v>2</v>
      </c>
      <c r="N3" t="s">
        <v>37</v>
      </c>
    </row>
    <row r="4" spans="1:14">
      <c r="A4" t="s">
        <v>5</v>
      </c>
      <c r="B4" t="s">
        <v>18</v>
      </c>
      <c r="C4" t="s">
        <v>262</v>
      </c>
      <c r="D4" t="s">
        <v>263</v>
      </c>
      <c r="E4" t="s">
        <v>78</v>
      </c>
      <c r="I4" t="s">
        <v>262</v>
      </c>
      <c r="J4">
        <v>3</v>
      </c>
      <c r="K4" t="s">
        <v>263</v>
      </c>
      <c r="L4">
        <v>3</v>
      </c>
      <c r="N4" t="s">
        <v>194</v>
      </c>
    </row>
    <row r="5" spans="1:14">
      <c r="A5" t="s">
        <v>6</v>
      </c>
      <c r="B5" t="s">
        <v>19</v>
      </c>
      <c r="C5" t="s">
        <v>264</v>
      </c>
      <c r="D5" t="s">
        <v>265</v>
      </c>
      <c r="E5" t="s">
        <v>61</v>
      </c>
      <c r="I5" t="s">
        <v>264</v>
      </c>
      <c r="J5">
        <v>4</v>
      </c>
      <c r="K5" t="s">
        <v>265</v>
      </c>
      <c r="L5">
        <v>4</v>
      </c>
      <c r="N5" t="s">
        <v>222</v>
      </c>
    </row>
    <row r="6" spans="1:14">
      <c r="A6" t="s">
        <v>7</v>
      </c>
      <c r="C6" t="s">
        <v>266</v>
      </c>
      <c r="D6" t="s">
        <v>267</v>
      </c>
      <c r="E6" t="s">
        <v>38</v>
      </c>
      <c r="I6" t="s">
        <v>266</v>
      </c>
      <c r="J6">
        <v>5</v>
      </c>
      <c r="K6" t="s">
        <v>267</v>
      </c>
      <c r="L6">
        <v>5</v>
      </c>
      <c r="N6" t="s">
        <v>43</v>
      </c>
    </row>
    <row r="7" spans="1:14">
      <c r="E7" t="s">
        <v>268</v>
      </c>
      <c r="N7" t="s">
        <v>142</v>
      </c>
    </row>
    <row r="8" spans="1:14">
      <c r="E8" t="s">
        <v>143</v>
      </c>
      <c r="N8" t="s">
        <v>149</v>
      </c>
    </row>
    <row r="9" spans="1:14">
      <c r="E9" t="s">
        <v>174</v>
      </c>
      <c r="N9" t="s">
        <v>269</v>
      </c>
    </row>
    <row r="10" spans="1:14">
      <c r="E10" t="s">
        <v>67</v>
      </c>
      <c r="N10" t="s">
        <v>270</v>
      </c>
    </row>
    <row r="11" spans="1:14">
      <c r="E11" t="s">
        <v>271</v>
      </c>
    </row>
    <row r="12" spans="1:14">
      <c r="E12" t="s">
        <v>44</v>
      </c>
    </row>
  </sheetData>
  <sortState xmlns:xlrd2="http://schemas.microsoft.com/office/spreadsheetml/2017/richdata2" ref="E2:E12">
    <sortCondition ref="E2:E12"/>
  </sortState>
  <customSheetViews>
    <customSheetView guid="{4FF6BE25-937E-494D-AC54-A20606835592}">
      <selection activeCell="N23" sqref="N23"/>
      <pageMargins left="0" right="0" top="0" bottom="0" header="0" footer="0"/>
      <pageSetup paperSize="9" orientation="portrait" horizontalDpi="300" verticalDpi="300"/>
    </customSheetView>
  </customSheetViews>
  <dataValidations count="1">
    <dataValidation type="list" allowBlank="1" sqref="E11" xr:uid="{B8C684F5-E334-4A59-9CDE-37498E4C54AF}">
      <formula1>CategoryList</formula1>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A1:F20"/>
  <sheetViews>
    <sheetView showGridLines="0" topLeftCell="A5" zoomScaleNormal="100" workbookViewId="0">
      <selection activeCell="A9" sqref="A9:F9"/>
    </sheetView>
  </sheetViews>
  <sheetFormatPr defaultColWidth="8.7109375" defaultRowHeight="14.45"/>
  <cols>
    <col min="1" max="1" width="130" customWidth="1"/>
    <col min="2" max="6" width="16" customWidth="1"/>
  </cols>
  <sheetData>
    <row r="1" spans="1:6" ht="30" customHeight="1">
      <c r="A1" s="67" t="s">
        <v>272</v>
      </c>
      <c r="B1" s="67"/>
      <c r="C1" s="67"/>
      <c r="D1" s="67"/>
      <c r="E1" s="67"/>
      <c r="F1" s="67"/>
    </row>
    <row r="2" spans="1:6">
      <c r="A2" s="68" t="s">
        <v>273</v>
      </c>
      <c r="B2" s="68"/>
      <c r="C2" s="68"/>
      <c r="D2" s="68"/>
      <c r="E2" s="68"/>
      <c r="F2" s="68"/>
    </row>
    <row r="4" spans="1:6" ht="7.5" customHeight="1">
      <c r="A4" s="64"/>
      <c r="B4" s="64"/>
      <c r="C4" s="64"/>
      <c r="D4" s="64"/>
      <c r="E4" s="64"/>
      <c r="F4" s="64"/>
    </row>
    <row r="5" spans="1:6" ht="30" customHeight="1">
      <c r="A5" s="65" t="s">
        <v>274</v>
      </c>
      <c r="B5" s="65"/>
      <c r="C5" s="65"/>
      <c r="D5" s="65"/>
      <c r="E5" s="65"/>
      <c r="F5" s="65"/>
    </row>
    <row r="6" spans="1:6" ht="30" customHeight="1">
      <c r="A6" s="64" t="s">
        <v>275</v>
      </c>
      <c r="B6" s="64"/>
      <c r="C6" s="64"/>
      <c r="D6" s="64"/>
      <c r="E6" s="64"/>
      <c r="F6" s="64"/>
    </row>
    <row r="7" spans="1:6" ht="7.5" customHeight="1">
      <c r="A7" s="64"/>
      <c r="B7" s="64"/>
      <c r="C7" s="64"/>
      <c r="D7" s="64"/>
      <c r="E7" s="64"/>
      <c r="F7" s="64"/>
    </row>
    <row r="8" spans="1:6" ht="30" customHeight="1">
      <c r="A8" s="65" t="s">
        <v>276</v>
      </c>
      <c r="B8" s="65"/>
      <c r="C8" s="65"/>
      <c r="D8" s="65"/>
      <c r="E8" s="65"/>
      <c r="F8" s="65"/>
    </row>
    <row r="9" spans="1:6" ht="30" customHeight="1">
      <c r="A9" s="64" t="s">
        <v>277</v>
      </c>
      <c r="B9" s="64"/>
      <c r="C9" s="64"/>
      <c r="D9" s="64"/>
      <c r="E9" s="64"/>
      <c r="F9" s="64"/>
    </row>
    <row r="10" spans="1:6" ht="30" customHeight="1">
      <c r="A10" s="64" t="s">
        <v>278</v>
      </c>
      <c r="B10" s="64"/>
      <c r="C10" s="64"/>
      <c r="D10" s="64"/>
      <c r="E10" s="64"/>
      <c r="F10" s="64"/>
    </row>
    <row r="11" spans="1:6" ht="30" customHeight="1">
      <c r="A11" s="64" t="s">
        <v>279</v>
      </c>
      <c r="B11" s="64"/>
      <c r="C11" s="64"/>
      <c r="D11" s="64"/>
      <c r="E11" s="64"/>
      <c r="F11" s="64"/>
    </row>
    <row r="12" spans="1:6" ht="30" customHeight="1">
      <c r="A12" s="64" t="s">
        <v>280</v>
      </c>
      <c r="B12" s="64"/>
      <c r="C12" s="64"/>
      <c r="D12" s="64"/>
      <c r="E12" s="64"/>
      <c r="F12" s="64"/>
    </row>
    <row r="13" spans="1:6" ht="30" customHeight="1">
      <c r="A13" s="64" t="s">
        <v>281</v>
      </c>
      <c r="B13" s="64"/>
      <c r="C13" s="64"/>
      <c r="D13" s="64"/>
      <c r="E13" s="64"/>
      <c r="F13" s="64"/>
    </row>
    <row r="14" spans="1:6" ht="7.5" customHeight="1">
      <c r="A14" s="64"/>
      <c r="B14" s="64"/>
      <c r="C14" s="64"/>
      <c r="D14" s="64"/>
      <c r="E14" s="64"/>
      <c r="F14" s="64"/>
    </row>
    <row r="15" spans="1:6" ht="30" customHeight="1">
      <c r="A15" s="65" t="s">
        <v>282</v>
      </c>
      <c r="B15" s="65"/>
      <c r="C15" s="65"/>
      <c r="D15" s="65"/>
      <c r="E15" s="65"/>
      <c r="F15" s="65"/>
    </row>
    <row r="16" spans="1:6" ht="30" customHeight="1">
      <c r="A16" s="64" t="s">
        <v>283</v>
      </c>
      <c r="B16" s="64"/>
      <c r="C16" s="64"/>
      <c r="D16" s="64"/>
      <c r="E16" s="64"/>
      <c r="F16" s="64"/>
    </row>
    <row r="17" spans="1:6" ht="30" customHeight="1">
      <c r="A17" s="64" t="s">
        <v>284</v>
      </c>
      <c r="B17" s="64"/>
      <c r="C17" s="64"/>
      <c r="D17" s="64"/>
      <c r="E17" s="64"/>
      <c r="F17" s="64"/>
    </row>
    <row r="18" spans="1:6" ht="30" customHeight="1">
      <c r="A18" s="64" t="s">
        <v>285</v>
      </c>
      <c r="B18" s="64"/>
      <c r="C18" s="64"/>
      <c r="D18" s="64"/>
      <c r="E18" s="64"/>
      <c r="F18" s="64"/>
    </row>
    <row r="19" spans="1:6" ht="30" customHeight="1">
      <c r="A19" s="64" t="s">
        <v>286</v>
      </c>
      <c r="B19" s="64"/>
      <c r="C19" s="64"/>
      <c r="D19" s="64"/>
      <c r="E19" s="64"/>
      <c r="F19" s="64"/>
    </row>
    <row r="20" spans="1:6" ht="30" customHeight="1">
      <c r="A20" s="64" t="s">
        <v>287</v>
      </c>
      <c r="B20" s="64"/>
      <c r="C20" s="64"/>
      <c r="D20" s="64"/>
      <c r="E20" s="64"/>
      <c r="F20" s="64"/>
    </row>
  </sheetData>
  <customSheetViews>
    <customSheetView guid="{4FF6BE25-937E-494D-AC54-A20606835592}" showGridLines="0">
      <selection activeCell="A9" sqref="A9:F9"/>
      <pageMargins left="0" right="0" top="0" bottom="0" header="0" footer="0"/>
      <pageSetup paperSize="9" orientation="portrait" horizontalDpi="300" verticalDpi="300"/>
    </customSheetView>
  </customSheetViews>
  <mergeCells count="19">
    <mergeCell ref="A1:F1"/>
    <mergeCell ref="A2:F2"/>
    <mergeCell ref="A4:F4"/>
    <mergeCell ref="A5:F5"/>
    <mergeCell ref="A6:F6"/>
    <mergeCell ref="A7:F7"/>
    <mergeCell ref="A8:F8"/>
    <mergeCell ref="A9:F9"/>
    <mergeCell ref="A10:F10"/>
    <mergeCell ref="A11:F11"/>
    <mergeCell ref="A17:F17"/>
    <mergeCell ref="A18:F18"/>
    <mergeCell ref="A19:F19"/>
    <mergeCell ref="A20:F20"/>
    <mergeCell ref="A12:F12"/>
    <mergeCell ref="A13:F13"/>
    <mergeCell ref="A14:F14"/>
    <mergeCell ref="A15:F15"/>
    <mergeCell ref="A16:F16"/>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6FC4737E33CF5540BE44F1805D66B027" ma:contentTypeVersion="11" ma:contentTypeDescription="Create a new document." ma:contentTypeScope="" ma:versionID="f4a26352aa5b62a63ef2182a53de5460">
  <xsd:schema xmlns:xsd="http://www.w3.org/2001/XMLSchema" xmlns:xs="http://www.w3.org/2001/XMLSchema" xmlns:p="http://schemas.microsoft.com/office/2006/metadata/properties" xmlns:ns1="http://schemas.microsoft.com/sharepoint/v3" xmlns:ns2="8cc54132-ec03-4098-a2e2-bd7b5b487bdd" xmlns:ns3="ba32b494-7de0-418d-ab4c-800cdb136d85" targetNamespace="http://schemas.microsoft.com/office/2006/metadata/properties" ma:root="true" ma:fieldsID="c56157c466cf55120fd96822db4ac0a3" ns1:_="" ns2:_="" ns3:_="">
    <xsd:import namespace="http://schemas.microsoft.com/sharepoint/v3"/>
    <xsd:import namespace="8cc54132-ec03-4098-a2e2-bd7b5b487bdd"/>
    <xsd:import namespace="ba32b494-7de0-418d-ab4c-800cdb136d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c54132-ec03-4098-a2e2-bd7b5b487b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4530e2d-b1ea-4ada-8c7e-d095980ec340"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32b494-7de0-418d-ab4c-800cdb136d85"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38369ef5-f002-4377-82fd-4d960e33ee8f}" ma:internalName="TaxCatchAll" ma:showField="CatchAllData" ma:web="ba32b494-7de0-418d-ab4c-800cdb136d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ba32b494-7de0-418d-ab4c-800cdb136d85" xsi:nil="true"/>
    <lcf76f155ced4ddcb4097134ff3c332f xmlns="8cc54132-ec03-4098-a2e2-bd7b5b487bd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A38E9C9-22BA-4A70-BB56-20B64F7AE04D}"/>
</file>

<file path=customXml/itemProps2.xml><?xml version="1.0" encoding="utf-8"?>
<ds:datastoreItem xmlns:ds="http://schemas.openxmlformats.org/officeDocument/2006/customXml" ds:itemID="{FB0FF9EB-2E72-4916-9F1B-749FB05519D9}"/>
</file>

<file path=customXml/itemProps3.xml><?xml version="1.0" encoding="utf-8"?>
<ds:datastoreItem xmlns:ds="http://schemas.openxmlformats.org/officeDocument/2006/customXml" ds:itemID="{724A5D5D-D04D-467F-8D7B-930F2DEA9501}"/>
</file>

<file path=customXml/itemProps4.xml><?xml version="1.0" encoding="utf-8"?>
<ds:datastoreItem xmlns:ds="http://schemas.openxmlformats.org/officeDocument/2006/customXml" ds:itemID="{2D674CD5-95ED-4C94-9F2E-A20A68F5040A}"/>
</file>

<file path=docMetadata/LabelInfo.xml><?xml version="1.0" encoding="utf-8"?>
<clbl:labelList xmlns:clbl="http://schemas.microsoft.com/office/2020/mipLabelMetadata">
  <clbl:label id="{02513295-34d7-4ce7-95f0-d6d90e122a36}" enabled="1" method="Standard" siteId="{2e0cb644-c094-41d7-ab3d-43201da24438}" removed="0"/>
  <clbl:label id="{1a54e107-6999-4f70-acdb-194c649c72f2}" enabled="0" method="" siteId="{1a54e107-6999-4f70-acdb-194c649c72f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1</cp:revision>
  <dcterms:created xsi:type="dcterms:W3CDTF">2026-07-05T22:39:24Z</dcterms:created>
  <dcterms:modified xsi:type="dcterms:W3CDTF">2026-08-11T13:44:27Z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0x0101006FC4737E33CF5540BE44F1805D66B027</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ies>
</file>