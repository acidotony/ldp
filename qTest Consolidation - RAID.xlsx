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showInkAnnotation="0" autoCompressPictures="0"/>
  <xr:revisionPtr revIDLastSave="41" documentId="11_1613B09669B15C83FDC9A6536C7A8883508064A0" xr6:coauthVersionLast="47" xr6:coauthVersionMax="47" xr10:uidLastSave="{1ADF4897-06C0-4241-B66E-7518CAAFF99C}"/>
  <bookViews>
    <workbookView xWindow="0" yWindow="0" windowWidth="0" windowHeight="0" firstSheet="3" activeTab="3" xr2:uid="{00000000-000D-0000-FFFF-FFFF00000000}"/>
  </bookViews>
  <sheets>
    <sheet name="Risks" sheetId="1" r:id="rId1"/>
    <sheet name="Assumptions" sheetId="2" r:id="rId2"/>
    <sheet name="Issues" sheetId="3" r:id="rId3"/>
    <sheet name="Dependencies" sheetId="4" r:id="rId4"/>
    <sheet name="Dashboard" sheetId="5" r:id="rId5"/>
    <sheet name="README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5" l="1"/>
  <c r="D7" i="5"/>
  <c r="C7" i="5"/>
  <c r="B7" i="5"/>
  <c r="F7" i="5" s="1"/>
  <c r="E6" i="5"/>
  <c r="D6" i="5"/>
  <c r="C6" i="5"/>
  <c r="B6" i="5"/>
  <c r="F6" i="5" s="1"/>
  <c r="E5" i="5"/>
  <c r="D5" i="5"/>
  <c r="C5" i="5"/>
  <c r="B5" i="5"/>
  <c r="F5" i="5" s="1"/>
  <c r="E4" i="5"/>
  <c r="D4" i="5"/>
  <c r="C4" i="5"/>
  <c r="B4" i="5"/>
  <c r="F4" i="5" s="1"/>
</calcChain>
</file>

<file path=xl/sharedStrings.xml><?xml version="1.0" encoding="utf-8"?>
<sst xmlns="http://schemas.openxmlformats.org/spreadsheetml/2006/main" count="365" uniqueCount="246">
  <si>
    <t>qTest Consolidation — RAID Log: Risks</t>
  </si>
  <si>
    <t>Potential future events that could negatively affect the HS qTest export / HCSC qTest import initiative.</t>
  </si>
  <si>
    <t>Risk ID</t>
  </si>
  <si>
    <t>Track</t>
  </si>
  <si>
    <t>Category</t>
  </si>
  <si>
    <t>Risk Description</t>
  </si>
  <si>
    <t>Status</t>
  </si>
  <si>
    <t>Likelihood</t>
  </si>
  <si>
    <t>Impact</t>
  </si>
  <si>
    <t>Priority</t>
  </si>
  <si>
    <t>Owner</t>
  </si>
  <si>
    <t>Mitigation / Response Plan</t>
  </si>
  <si>
    <t>Dependency / Trigger</t>
  </si>
  <si>
    <t>Notes</t>
  </si>
  <si>
    <t>R-001</t>
  </si>
  <si>
    <t>qTest</t>
  </si>
  <si>
    <t>Technical</t>
  </si>
  <si>
    <t>HS and HCSC qTest versions expose different API behavior or object models, causing export/import incompatibilities.</t>
  </si>
  <si>
    <t>In Progress</t>
  </si>
  <si>
    <t>High</t>
  </si>
  <si>
    <t>Critical</t>
  </si>
  <si>
    <t>ELEKS qTest Migration Team</t>
  </si>
  <si>
    <t>Build an API capability matrix for both platforms; use a canonical migration model and test every in-scope object in the POC.</t>
  </si>
  <si>
    <t>POC design / API assessment</t>
  </si>
  <si>
    <t>R-002</t>
  </si>
  <si>
    <t>Some qTest elements can be exported but cannot be recreated with equivalent fidelity through the HCSC API.</t>
  </si>
  <si>
    <t>Use the POC to classify every selected element as Automated, Partial, Manual, Prerequisite, Unsupported, or Excluded; obtain client acceptance for limitations.</t>
  </si>
  <si>
    <t>POC capability matrix</t>
  </si>
  <si>
    <t>R-003</t>
  </si>
  <si>
    <t>Integration</t>
  </si>
  <si>
    <t>Jira target projects or issue mappings change during the project and invalidate hard-coded migration logic.</t>
  </si>
  <si>
    <t>Open</t>
  </si>
  <si>
    <t>Medium</t>
  </si>
  <si>
    <t>Jira Integration Owner</t>
  </si>
  <si>
    <t>Keep Jira mapping external to code using mapping files; apply final mappings late and reconcile before final import.</t>
  </si>
  <si>
    <t>Jira mapping workstream</t>
  </si>
  <si>
    <t>R-004</t>
  </si>
  <si>
    <t>Security</t>
  </si>
  <si>
    <t>Export packages contain sensitive test data or attachments and are transferred or stored without approved controls.</t>
  </si>
  <si>
    <t>Security / Compliance</t>
  </si>
  <si>
    <t>Use approved storage and transfer path, least privilege, package checksums, access controls, retention rules, and cleanup procedures.</t>
  </si>
  <si>
    <t>Security approval</t>
  </si>
  <si>
    <t>R-007</t>
  </si>
  <si>
    <t>Identity</t>
  </si>
  <si>
    <t>HS users referenced by qTest objects do not exist or cannot be uniquely mapped in HCSC.</t>
  </si>
  <si>
    <t>HCSC qTest Admin / IAM</t>
  </si>
  <si>
    <t>Create user mapping based on approved identifiers; define handling for inactive/historical users before full import.</t>
  </si>
  <si>
    <t>User mapping</t>
  </si>
  <si>
    <t>R-008</t>
  </si>
  <si>
    <t>External integrations or automation continue to reference HS qTest project IDs, URLs, tokens, or object identifiers after HCSC import.</t>
  </si>
  <si>
    <t>Mitigated</t>
  </si>
  <si>
    <t>Integration / Automation Owners</t>
  </si>
  <si>
    <t>Inventory dependencies, regenerate HCSC credentials, repoint integrations, and include functional validation in final plan.</t>
  </si>
  <si>
    <t>Dependency assessment</t>
  </si>
  <si>
    <t>R-009</t>
  </si>
  <si>
    <t>Operational</t>
  </si>
  <si>
    <t>Source data changes after discovery and the final export package no longer matches the approved baseline.</t>
  </si>
  <si>
    <t>HS qTest Owner</t>
  </si>
  <si>
    <t>Refresh inventory/export before final execution and define a controlled change/freeze window for the final package.</t>
  </si>
  <si>
    <t>Final readiness</t>
  </si>
  <si>
    <t xml:space="preserve">The HS qTest is freezze prior to final migration </t>
  </si>
  <si>
    <t>R-010</t>
  </si>
  <si>
    <t>Partial import leaves inconsistent HCSC data and rerunning the script creates duplicates.</t>
  </si>
  <si>
    <t>Make importer restartable/idempotent where possible; persist mapping state and validate before retrying failed batches.</t>
  </si>
  <si>
    <t>Tool development</t>
  </si>
  <si>
    <t>R-011</t>
  </si>
  <si>
    <t>Governance</t>
  </si>
  <si>
    <t>POC success is interpreted as proof that all discovered qTest elements are production-ready for import.</t>
  </si>
  <si>
    <t>Project Manager / POC Lead</t>
  </si>
  <si>
    <t>Use a formal POC results report and GO/NO-GO gate; clearly separate feasibility from scale/readiness.</t>
  </si>
  <si>
    <t>Client POC review</t>
  </si>
  <si>
    <t>R-012</t>
  </si>
  <si>
    <t>Dependency</t>
  </si>
  <si>
    <t>Required HCSC permissions, test project, API credentials, or configuration approvals are not ready when POC/import testing starts.</t>
  </si>
  <si>
    <t>HCSC qTest Admin</t>
  </si>
  <si>
    <t>Track prerequisites in dependency log with required-by dates and escalation path.</t>
  </si>
  <si>
    <t>POC readiness</t>
  </si>
  <si>
    <t>qTest Consolidation — RAID Log: Assumptions</t>
  </si>
  <si>
    <t>Planning assumptions that must be validated as the POC and full plan progress.</t>
  </si>
  <si>
    <t>Assumption ID</t>
  </si>
  <si>
    <t>Assumption Description</t>
  </si>
  <si>
    <t>Impact if Invalid</t>
  </si>
  <si>
    <t>Validation Plan</t>
  </si>
  <si>
    <t>Date Identified</t>
  </si>
  <si>
    <t>Target Validation Date</t>
  </si>
  <si>
    <t>Date Validated</t>
  </si>
  <si>
    <t>A-001</t>
  </si>
  <si>
    <t>HS qTest APIs allow read access to the qTest elements selected during discovery.</t>
  </si>
  <si>
    <t>POC scope may need reduction or alternate export handling.</t>
  </si>
  <si>
    <t>HS qTest Admin</t>
  </si>
  <si>
    <t>Validate using completed discovery scripts and retain evidence.</t>
  </si>
  <si>
    <t>A-002</t>
  </si>
  <si>
    <t>HCSC qTest APIs allow creation/update of the elements selected for the POC.</t>
  </si>
  <si>
    <t>POC may prove only partial feasibility.</t>
  </si>
  <si>
    <t>Validate API endpoints and permissions before importer development.</t>
  </si>
  <si>
    <t>A-003</t>
  </si>
  <si>
    <t>Architecture</t>
  </si>
  <si>
    <t>No direct connectivity exists or will be used between HS and HCSC qTest; the only transfer method is export files followed by import.</t>
  </si>
  <si>
    <t>Affects all tooling and operating procedures.</t>
  </si>
  <si>
    <t>Project Manager</t>
  </si>
  <si>
    <t>Treat file-mediated export/import as a fixed project constraint.</t>
  </si>
  <si>
    <t>Validated</t>
  </si>
  <si>
    <t>A-004</t>
  </si>
  <si>
    <t>Environment</t>
  </si>
  <si>
    <t>A dedicated HCSC qTest test project will be available for POC imports.</t>
  </si>
  <si>
    <t>POC execution blocked.</t>
  </si>
  <si>
    <t>Create/confirm project and required permissions.</t>
  </si>
  <si>
    <t>A-005</t>
  </si>
  <si>
    <t>An approved mechanism exists for transferring migration packages from HS to HCSC.</t>
  </si>
  <si>
    <t>Export can complete but import cannot start.</t>
  </si>
  <si>
    <t>Security / Platform</t>
  </si>
  <si>
    <t>Confirm approved transfer/storage mechanism and retention requirements.</t>
  </si>
  <si>
    <t>A-006</t>
  </si>
  <si>
    <t>Final Jira project mappings may change during the project.</t>
  </si>
  <si>
    <t>Jira links cannot be hard-coded early.</t>
  </si>
  <si>
    <t>Jira Owner</t>
  </si>
  <si>
    <t>Use external mapping files and late binding.</t>
  </si>
  <si>
    <t>A-007</t>
  </si>
  <si>
    <t>Discovery outputs remain reusable inputs for POC scope, full planning, and final reconciliation.</t>
  </si>
  <si>
    <t>Rework if discovery data format is insufficient.</t>
  </si>
  <si>
    <t>Version discovery outputs and define canonical schema.</t>
  </si>
  <si>
    <t>qTest Consolidation — RAID Log: Issues</t>
  </si>
  <si>
    <t>Current problems requiring active resolution.</t>
  </si>
  <si>
    <t>Issue ID</t>
  </si>
  <si>
    <t>Issue Description</t>
  </si>
  <si>
    <t>Resolution Plan</t>
  </si>
  <si>
    <t>Date Raised</t>
  </si>
  <si>
    <t>Target Resolution Date</t>
  </si>
  <si>
    <t>Date Resolved</t>
  </si>
  <si>
    <t>qTest Consolidation — RAID Log: Dependencies</t>
  </si>
  <si>
    <t>Prerequisites and external inputs that can block POC or full import readiness.</t>
  </si>
  <si>
    <t>Dependency ID</t>
  </si>
  <si>
    <t>Phase</t>
  </si>
  <si>
    <t>Why Required</t>
  </si>
  <si>
    <t>Required By</t>
  </si>
  <si>
    <t>Related Jira</t>
  </si>
  <si>
    <t>D-001</t>
  </si>
  <si>
    <t>POC</t>
  </si>
  <si>
    <t>HS qTest API/service account access</t>
  </si>
  <si>
    <t>Required to use discovery/export tooling and refresh selected POC data.</t>
  </si>
  <si>
    <t>Before POC package creation</t>
  </si>
  <si>
    <t>Complete</t>
  </si>
  <si>
    <t>D-002</t>
  </si>
  <si>
    <t>HCSC qTest API/service account access</t>
  </si>
  <si>
    <t>Required to create and validate objects in the HCSC test project.</t>
  </si>
  <si>
    <t>Before importer testing</t>
  </si>
  <si>
    <t>D-003</t>
  </si>
  <si>
    <t>HCSC qTest test project</t>
  </si>
  <si>
    <t>Isolated destination required for POC import and cleanup/retry.</t>
  </si>
  <si>
    <t>Before POC execution</t>
  </si>
  <si>
    <t>D-004</t>
  </si>
  <si>
    <t>HS/HCSC qTest version and API capability matrix</t>
  </si>
  <si>
    <t>Determines supported fields, endpoints, payloads, and transformation rules.</t>
  </si>
  <si>
    <t>Before POC implementation complete</t>
  </si>
  <si>
    <t>D-005</t>
  </si>
  <si>
    <t>Discovery outputs and relationship inventory</t>
  </si>
  <si>
    <t>Authoritative input for POC scope and source-side reconciliation.</t>
  </si>
  <si>
    <t>POC scope definition</t>
  </si>
  <si>
    <t>D-006</t>
  </si>
  <si>
    <t>Secure package transfer/storage</t>
  </si>
  <si>
    <t>Needed because HS and HCSC have no direct connectivity.</t>
  </si>
  <si>
    <t>Before HCSC import</t>
  </si>
  <si>
    <t>D-007</t>
  </si>
  <si>
    <t>HCSC target configuration baseline</t>
  </si>
  <si>
    <t>Fields/statuses/profiles needed before related objects can be created correctly.</t>
  </si>
  <si>
    <t>Before import</t>
  </si>
  <si>
    <t>D-008</t>
  </si>
  <si>
    <t>User mapping approach</t>
  </si>
  <si>
    <t>Required for ownership/attribution where supported.</t>
  </si>
  <si>
    <t>Before user-referenced imports</t>
  </si>
  <si>
    <t>D-009</t>
  </si>
  <si>
    <t>Jira source-to-target mapping</t>
  </si>
  <si>
    <t>Required to reconnect or preserve external references; final project may change.</t>
  </si>
  <si>
    <t>Before final Jira reconciliation</t>
  </si>
  <si>
    <t>D-010</t>
  </si>
  <si>
    <t>Full Plan</t>
  </si>
  <si>
    <t>Full migration element classification</t>
  </si>
  <si>
    <t>Each discovered element needs final method: automated, partial, manual, prerequisite, unsupported, or excluded.</t>
  </si>
  <si>
    <t>ELEKS + HCSC qTest Admin</t>
  </si>
  <si>
    <t>Before rehearsal</t>
  </si>
  <si>
    <t>D-011</t>
  </si>
  <si>
    <t xml:space="preserve">HCSC Cloud </t>
  </si>
  <si>
    <t>qTest HCSC Cloud should be available</t>
  </si>
  <si>
    <t>D-012</t>
  </si>
  <si>
    <t>Final HCSC project/configuration readiness</t>
  </si>
  <si>
    <t>Destination projects and required settings must exist before full import.</t>
  </si>
  <si>
    <t>Before rehearsal/final import</t>
  </si>
  <si>
    <t>D-013</t>
  </si>
  <si>
    <t>Integration and automation owner readiness</t>
  </si>
  <si>
    <t>External systems may need new HCSC URLs, tokens, project IDs, and mappings.</t>
  </si>
  <si>
    <t>Integration Owners</t>
  </si>
  <si>
    <t>Before final validation</t>
  </si>
  <si>
    <t>D-014</t>
  </si>
  <si>
    <t>Final</t>
  </si>
  <si>
    <t>Source refresh/freeze decision</t>
  </si>
  <si>
    <t>Discovery baseline must be refreshed and final source changes controlled before final export.</t>
  </si>
  <si>
    <t>HS qTest Owner / Client</t>
  </si>
  <si>
    <t>Before final export</t>
  </si>
  <si>
    <t>qTest Consolidation — RAID Dashboard</t>
  </si>
  <si>
    <t>Resolved/Validated</t>
  </si>
  <si>
    <t>Blocked/Escalated</t>
  </si>
  <si>
    <t>Total</t>
  </si>
  <si>
    <t>Primary Focus</t>
  </si>
  <si>
    <t>Risks</t>
  </si>
  <si>
    <t>API fidelity, relationships, configuration conflicts</t>
  </si>
  <si>
    <t>Assumptions</t>
  </si>
  <si>
    <t>POC prerequisites and architecture constraints</t>
  </si>
  <si>
    <t>Issues</t>
  </si>
  <si>
    <t>Compatibility and Jira mapping gaps</t>
  </si>
  <si>
    <t>Dependencies</t>
  </si>
  <si>
    <t>HCSC readiness, access, transfer, client gates</t>
  </si>
  <si>
    <t>Key Project Gates</t>
  </si>
  <si>
    <t>Gate</t>
  </si>
  <si>
    <t>Purpose</t>
  </si>
  <si>
    <t>Evidence</t>
  </si>
  <si>
    <t>Discovery Baseline</t>
  </si>
  <si>
    <t>Inventory, hierarchy and relationships available</t>
  </si>
  <si>
    <t>Versioned discovery outputs</t>
  </si>
  <si>
    <t>ELEKS</t>
  </si>
  <si>
    <t>POC Ready</t>
  </si>
  <si>
    <t>Scope, target project, access and mappings ready</t>
  </si>
  <si>
    <t>POC scope + readiness checklist</t>
  </si>
  <si>
    <t>POC Lead / HCSC</t>
  </si>
  <si>
    <t>POC GO/NO-GO</t>
  </si>
  <si>
    <t>Client accepts feasibility and limitations</t>
  </si>
  <si>
    <t>POC results + capability matrix</t>
  </si>
  <si>
    <t>Client</t>
  </si>
  <si>
    <t>Full Import Ready</t>
  </si>
  <si>
    <t>Tooling, mappings, target config and rehearsal accepted</t>
  </si>
  <si>
    <t>Readiness report</t>
  </si>
  <si>
    <t>Project Team</t>
  </si>
  <si>
    <t>qTest Consolidation — RAID Log</t>
  </si>
  <si>
    <t>Track Risks, Assumptions, Issues and Dependencies for the HS qTest export / HCSC qTest import project.</t>
  </si>
  <si>
    <t>Architecture constraint</t>
  </si>
  <si>
    <t>No direct HS-to-HCSC connectivity. Information is exported to files and imported separately into HCSC.</t>
  </si>
  <si>
    <t>Discovery</t>
  </si>
  <si>
    <t>Separate assessment phase; existing discovery scripts and outputs are reused by the POC and later planning.</t>
  </si>
  <si>
    <t>Validates feasibility using a reduced, representative set of related qTest elements.</t>
  </si>
  <si>
    <t>Full plan</t>
  </si>
  <si>
    <t>Starts after client review and GO decision from the POC.</t>
  </si>
  <si>
    <t>Status maintenance</t>
  </si>
  <si>
    <t>Owners update status, dates, mitigation/resolution and evidence as Jira work progresses.</t>
  </si>
  <si>
    <t>Jira mapping</t>
  </si>
  <si>
    <t>External configuration because target Jira projects may change during the project.</t>
  </si>
  <si>
    <t>Format</t>
  </si>
  <si>
    <t>Modeled on the attached DevOps Tools Consolidation RAID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</si>
</sst>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sz val="11"/>
      <name val="Arial"/>
    </font>
    <font>
      <i/>
      <sz val="11"/>
      <color rgb="FF666666"/>
      <name val="Arial"/>
    </font>
    <font>
      <b/>
      <sz val="11"/>
      <color rgb="FFFFFFFF"/>
      <name val="Arial"/>
    </font>
    <font>
      <b/>
      <sz val="11"/>
      <color rgb="FF1F1F1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0" borderId="0" xfId="0" applyFont="1"/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5" fillId="2" borderId="0" xfId="0" applyFont="1" applyFill="1" applyAlignment="1">
      <alignment vertical="center"/>
    </xf>
    <xf numFmtId="0" fontId="4" fillId="0" borderId="0" xfId="0" applyFont="1" applyAlignment="1">
      <alignment wrapText="1"/>
    </xf>
    <xf numFmtId="0" fontId="6" fillId="3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12"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opLeftCell="C5" zoomScaleNormal="100" zoomScaleSheetLayoutView="100" workbookViewId="0">
      <selection activeCell="L10" sqref="L10"/>
    </sheetView>
  </sheetViews>
  <sheetFormatPr defaultRowHeight="14.25"/>
  <cols>
    <col min="1" max="1" width="11" style="3" customWidth="1"/>
    <col min="2" max="2" width="10" style="3" customWidth="1"/>
    <col min="3" max="3" width="13" style="3" customWidth="1"/>
    <col min="4" max="4" width="40" style="3" customWidth="1"/>
    <col min="5" max="5" width="13" style="3" customWidth="1"/>
    <col min="6" max="8" width="11" style="3" customWidth="1"/>
    <col min="9" max="9" width="20" style="3" customWidth="1"/>
    <col min="10" max="10" width="42" style="3" customWidth="1"/>
    <col min="11" max="11" width="25" style="3" customWidth="1"/>
    <col min="12" max="12" width="28" style="3" customWidth="1"/>
    <col min="13" max="16384" width="9" style="3"/>
  </cols>
  <sheetData>
    <row r="1" spans="1:12" ht="27.95" customHeight="1">
      <c r="A1" s="7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>
      <c r="A2" s="8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spans="1:12" ht="43.5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/>
    </row>
    <row r="5" spans="1:12" ht="57.75">
      <c r="A5" s="5" t="s">
        <v>24</v>
      </c>
      <c r="B5" s="5" t="s">
        <v>15</v>
      </c>
      <c r="C5" s="5" t="s">
        <v>16</v>
      </c>
      <c r="D5" s="5" t="s">
        <v>25</v>
      </c>
      <c r="E5" s="5" t="s">
        <v>18</v>
      </c>
      <c r="F5" s="5" t="s">
        <v>19</v>
      </c>
      <c r="G5" s="5" t="s">
        <v>19</v>
      </c>
      <c r="H5" s="5" t="s">
        <v>20</v>
      </c>
      <c r="I5" s="5" t="s">
        <v>21</v>
      </c>
      <c r="J5" s="5" t="s">
        <v>26</v>
      </c>
      <c r="K5" s="5" t="s">
        <v>27</v>
      </c>
      <c r="L5" s="5"/>
    </row>
    <row r="6" spans="1:12" ht="43.5">
      <c r="A6" s="5" t="s">
        <v>28</v>
      </c>
      <c r="B6" s="5" t="s">
        <v>15</v>
      </c>
      <c r="C6" s="5" t="s">
        <v>29</v>
      </c>
      <c r="D6" s="5" t="s">
        <v>30</v>
      </c>
      <c r="E6" s="5" t="s">
        <v>31</v>
      </c>
      <c r="F6" s="5" t="s">
        <v>19</v>
      </c>
      <c r="G6" s="5" t="s">
        <v>32</v>
      </c>
      <c r="H6" s="5" t="s">
        <v>19</v>
      </c>
      <c r="I6" s="5" t="s">
        <v>33</v>
      </c>
      <c r="J6" s="5" t="s">
        <v>34</v>
      </c>
      <c r="K6" s="5" t="s">
        <v>35</v>
      </c>
      <c r="L6" s="5"/>
    </row>
    <row r="7" spans="1:12" ht="43.5">
      <c r="A7" s="5" t="s">
        <v>36</v>
      </c>
      <c r="B7" s="5" t="s">
        <v>15</v>
      </c>
      <c r="C7" s="5" t="s">
        <v>37</v>
      </c>
      <c r="D7" s="5" t="s">
        <v>38</v>
      </c>
      <c r="E7" s="5" t="s">
        <v>18</v>
      </c>
      <c r="F7" s="5" t="s">
        <v>32</v>
      </c>
      <c r="G7" s="5" t="s">
        <v>19</v>
      </c>
      <c r="H7" s="5" t="s">
        <v>19</v>
      </c>
      <c r="I7" s="5" t="s">
        <v>39</v>
      </c>
      <c r="J7" s="5" t="s">
        <v>40</v>
      </c>
      <c r="K7" s="5" t="s">
        <v>41</v>
      </c>
      <c r="L7" s="5"/>
    </row>
    <row r="8" spans="1:12" ht="43.5">
      <c r="A8" s="5" t="s">
        <v>42</v>
      </c>
      <c r="B8" s="5" t="s">
        <v>15</v>
      </c>
      <c r="C8" s="5" t="s">
        <v>43</v>
      </c>
      <c r="D8" s="5" t="s">
        <v>44</v>
      </c>
      <c r="E8" s="5" t="s">
        <v>31</v>
      </c>
      <c r="F8" s="5" t="s">
        <v>19</v>
      </c>
      <c r="G8" s="5" t="s">
        <v>32</v>
      </c>
      <c r="H8" s="5" t="s">
        <v>19</v>
      </c>
      <c r="I8" s="5" t="s">
        <v>45</v>
      </c>
      <c r="J8" s="5" t="s">
        <v>46</v>
      </c>
      <c r="K8" s="5" t="s">
        <v>47</v>
      </c>
      <c r="L8" s="5"/>
    </row>
    <row r="9" spans="1:12" ht="43.5">
      <c r="A9" s="5" t="s">
        <v>48</v>
      </c>
      <c r="B9" s="5" t="s">
        <v>15</v>
      </c>
      <c r="C9" s="5" t="s">
        <v>29</v>
      </c>
      <c r="D9" s="5" t="s">
        <v>49</v>
      </c>
      <c r="E9" s="5" t="s">
        <v>50</v>
      </c>
      <c r="F9" s="5" t="s">
        <v>32</v>
      </c>
      <c r="G9" s="5" t="s">
        <v>19</v>
      </c>
      <c r="H9" s="5" t="s">
        <v>19</v>
      </c>
      <c r="I9" s="5" t="s">
        <v>51</v>
      </c>
      <c r="J9" s="5" t="s">
        <v>52</v>
      </c>
      <c r="K9" s="5" t="s">
        <v>53</v>
      </c>
      <c r="L9" s="5"/>
    </row>
    <row r="10" spans="1:12" ht="43.5">
      <c r="A10" s="5" t="s">
        <v>54</v>
      </c>
      <c r="B10" s="5" t="s">
        <v>15</v>
      </c>
      <c r="C10" s="5" t="s">
        <v>55</v>
      </c>
      <c r="D10" s="5" t="s">
        <v>56</v>
      </c>
      <c r="E10" s="5" t="s">
        <v>50</v>
      </c>
      <c r="F10" s="5" t="s">
        <v>19</v>
      </c>
      <c r="G10" s="5" t="s">
        <v>19</v>
      </c>
      <c r="H10" s="5" t="s">
        <v>20</v>
      </c>
      <c r="I10" s="5" t="s">
        <v>57</v>
      </c>
      <c r="J10" s="5" t="s">
        <v>58</v>
      </c>
      <c r="K10" s="5" t="s">
        <v>59</v>
      </c>
      <c r="L10" s="5" t="s">
        <v>60</v>
      </c>
    </row>
    <row r="11" spans="1:12" ht="43.5">
      <c r="A11" s="5" t="s">
        <v>61</v>
      </c>
      <c r="B11" s="5" t="s">
        <v>15</v>
      </c>
      <c r="C11" s="5" t="s">
        <v>16</v>
      </c>
      <c r="D11" s="5" t="s">
        <v>62</v>
      </c>
      <c r="E11" s="5" t="s">
        <v>31</v>
      </c>
      <c r="F11" s="5" t="s">
        <v>32</v>
      </c>
      <c r="G11" s="5" t="s">
        <v>19</v>
      </c>
      <c r="H11" s="5" t="s">
        <v>19</v>
      </c>
      <c r="I11" s="5" t="s">
        <v>21</v>
      </c>
      <c r="J11" s="5" t="s">
        <v>63</v>
      </c>
      <c r="K11" s="5" t="s">
        <v>64</v>
      </c>
      <c r="L11" s="5"/>
    </row>
    <row r="12" spans="1:12" ht="43.5">
      <c r="A12" s="5" t="s">
        <v>65</v>
      </c>
      <c r="B12" s="5" t="s">
        <v>15</v>
      </c>
      <c r="C12" s="5" t="s">
        <v>66</v>
      </c>
      <c r="D12" s="5" t="s">
        <v>67</v>
      </c>
      <c r="E12" s="5" t="s">
        <v>31</v>
      </c>
      <c r="F12" s="5" t="s">
        <v>32</v>
      </c>
      <c r="G12" s="5" t="s">
        <v>19</v>
      </c>
      <c r="H12" s="5" t="s">
        <v>19</v>
      </c>
      <c r="I12" s="5" t="s">
        <v>68</v>
      </c>
      <c r="J12" s="5" t="s">
        <v>69</v>
      </c>
      <c r="K12" s="5" t="s">
        <v>70</v>
      </c>
      <c r="L12" s="5"/>
    </row>
    <row r="13" spans="1:12" ht="43.5">
      <c r="A13" s="5" t="s">
        <v>71</v>
      </c>
      <c r="B13" s="5" t="s">
        <v>15</v>
      </c>
      <c r="C13" s="5" t="s">
        <v>72</v>
      </c>
      <c r="D13" s="5" t="s">
        <v>73</v>
      </c>
      <c r="E13" s="5" t="s">
        <v>31</v>
      </c>
      <c r="F13" s="5" t="s">
        <v>32</v>
      </c>
      <c r="G13" s="5" t="s">
        <v>19</v>
      </c>
      <c r="H13" s="5" t="s">
        <v>19</v>
      </c>
      <c r="I13" s="5" t="s">
        <v>74</v>
      </c>
      <c r="J13" s="5" t="s">
        <v>75</v>
      </c>
      <c r="K13" s="5" t="s">
        <v>76</v>
      </c>
      <c r="L13" s="5"/>
    </row>
  </sheetData>
  <mergeCells count="2">
    <mergeCell ref="A1:L1"/>
    <mergeCell ref="A2:L2"/>
  </mergeCells>
  <conditionalFormatting sqref="E4:E13">
    <cfRule type="expression" dxfId="11" priority="1">
      <formula>E4="Open"</formula>
    </cfRule>
    <cfRule type="expression" dxfId="10" priority="2">
      <formula>E4="In Progress"</formula>
    </cfRule>
    <cfRule type="expression" dxfId="9" priority="3">
      <formula>OR(E4="Closed",E4="Complete",E4="Validated",E4="Mitigated")</formula>
    </cfRule>
    <cfRule type="expression" dxfId="8" priority="4">
      <formula>OR(E4="Blocked",E4="Escalated")</formula>
    </cfRule>
  </conditionalFormatting>
  <dataValidations count="1">
    <dataValidation type="list" sqref="E4:E13" xr:uid="{00000000-0002-0000-0000-000000000000}">
      <formula1>"Open,In Progress,Mitigated,Closed,Escalated,Complete,Validated,Blocked"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zoomScaleNormal="100" zoomScaleSheetLayoutView="100" workbookViewId="0">
      <selection activeCell="C16" sqref="C16"/>
    </sheetView>
  </sheetViews>
  <sheetFormatPr defaultRowHeight="14.25"/>
  <cols>
    <col min="1" max="1" width="13" style="3" customWidth="1"/>
    <col min="2" max="2" width="14" style="3" customWidth="1"/>
    <col min="3" max="3" width="42" style="3" customWidth="1"/>
    <col min="4" max="4" width="35" style="3" customWidth="1"/>
    <col min="5" max="5" width="20" style="3" customWidth="1"/>
    <col min="6" max="6" width="38" style="3" customWidth="1"/>
    <col min="7" max="7" width="13" style="3" customWidth="1"/>
    <col min="8" max="8" width="14" style="3" customWidth="1"/>
    <col min="9" max="9" width="18" style="3" customWidth="1"/>
    <col min="10" max="10" width="14" style="3" customWidth="1"/>
    <col min="11" max="11" width="28" style="3" customWidth="1"/>
    <col min="12" max="16384" width="9" style="3"/>
  </cols>
  <sheetData>
    <row r="1" spans="1:11" ht="27.95" customHeight="1">
      <c r="A1" s="7" t="s">
        <v>77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>
      <c r="A2" s="8" t="s">
        <v>78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28.5">
      <c r="A3" s="4" t="s">
        <v>79</v>
      </c>
      <c r="B3" s="4" t="s">
        <v>4</v>
      </c>
      <c r="C3" s="4" t="s">
        <v>80</v>
      </c>
      <c r="D3" s="4" t="s">
        <v>81</v>
      </c>
      <c r="E3" s="4" t="s">
        <v>10</v>
      </c>
      <c r="F3" s="4" t="s">
        <v>82</v>
      </c>
      <c r="G3" s="4" t="s">
        <v>6</v>
      </c>
      <c r="H3" s="4" t="s">
        <v>83</v>
      </c>
      <c r="I3" s="4" t="s">
        <v>84</v>
      </c>
      <c r="J3" s="4" t="s">
        <v>85</v>
      </c>
      <c r="K3" s="4" t="s">
        <v>13</v>
      </c>
    </row>
    <row r="4" spans="1:11" ht="28.5">
      <c r="A4" s="5" t="s">
        <v>86</v>
      </c>
      <c r="B4" s="5" t="s">
        <v>16</v>
      </c>
      <c r="C4" s="5" t="s">
        <v>87</v>
      </c>
      <c r="D4" s="5" t="s">
        <v>88</v>
      </c>
      <c r="E4" s="5" t="s">
        <v>89</v>
      </c>
      <c r="F4" s="5" t="s">
        <v>90</v>
      </c>
      <c r="G4" s="5" t="s">
        <v>18</v>
      </c>
      <c r="H4" s="5"/>
      <c r="I4" s="5"/>
      <c r="J4" s="5"/>
      <c r="K4" s="5"/>
    </row>
    <row r="5" spans="1:11" ht="28.5">
      <c r="A5" s="5" t="s">
        <v>91</v>
      </c>
      <c r="B5" s="5" t="s">
        <v>16</v>
      </c>
      <c r="C5" s="5" t="s">
        <v>92</v>
      </c>
      <c r="D5" s="5" t="s">
        <v>93</v>
      </c>
      <c r="E5" s="5" t="s">
        <v>74</v>
      </c>
      <c r="F5" s="5" t="s">
        <v>94</v>
      </c>
      <c r="G5" s="5" t="s">
        <v>31</v>
      </c>
      <c r="H5" s="5"/>
      <c r="I5" s="5"/>
      <c r="J5" s="5"/>
      <c r="K5" s="5"/>
    </row>
    <row r="6" spans="1:11" ht="43.5">
      <c r="A6" s="5" t="s">
        <v>95</v>
      </c>
      <c r="B6" s="5" t="s">
        <v>96</v>
      </c>
      <c r="C6" s="5" t="s">
        <v>97</v>
      </c>
      <c r="D6" s="5" t="s">
        <v>98</v>
      </c>
      <c r="E6" s="5" t="s">
        <v>99</v>
      </c>
      <c r="F6" s="5" t="s">
        <v>100</v>
      </c>
      <c r="G6" s="5" t="s">
        <v>101</v>
      </c>
      <c r="H6" s="5"/>
      <c r="I6" s="5"/>
      <c r="J6" s="5"/>
      <c r="K6" s="5"/>
    </row>
    <row r="7" spans="1:11" ht="28.5">
      <c r="A7" s="5" t="s">
        <v>102</v>
      </c>
      <c r="B7" s="5" t="s">
        <v>103</v>
      </c>
      <c r="C7" s="5" t="s">
        <v>104</v>
      </c>
      <c r="D7" s="5" t="s">
        <v>105</v>
      </c>
      <c r="E7" s="5" t="s">
        <v>74</v>
      </c>
      <c r="F7" s="5" t="s">
        <v>106</v>
      </c>
      <c r="G7" s="5" t="s">
        <v>31</v>
      </c>
      <c r="H7" s="5"/>
      <c r="I7" s="5"/>
      <c r="J7" s="5"/>
      <c r="K7" s="5"/>
    </row>
    <row r="8" spans="1:11" ht="28.5">
      <c r="A8" s="5" t="s">
        <v>107</v>
      </c>
      <c r="B8" s="5" t="s">
        <v>37</v>
      </c>
      <c r="C8" s="5" t="s">
        <v>108</v>
      </c>
      <c r="D8" s="5" t="s">
        <v>109</v>
      </c>
      <c r="E8" s="5" t="s">
        <v>110</v>
      </c>
      <c r="F8" s="5" t="s">
        <v>111</v>
      </c>
      <c r="G8" s="5" t="s">
        <v>31</v>
      </c>
      <c r="H8" s="5"/>
      <c r="I8" s="5"/>
      <c r="J8" s="5"/>
      <c r="K8" s="5"/>
    </row>
    <row r="9" spans="1:11" ht="28.5">
      <c r="A9" s="5" t="s">
        <v>112</v>
      </c>
      <c r="B9" s="5" t="s">
        <v>29</v>
      </c>
      <c r="C9" s="5" t="s">
        <v>113</v>
      </c>
      <c r="D9" s="5" t="s">
        <v>114</v>
      </c>
      <c r="E9" s="5" t="s">
        <v>115</v>
      </c>
      <c r="F9" s="5" t="s">
        <v>116</v>
      </c>
      <c r="G9" s="5" t="s">
        <v>101</v>
      </c>
      <c r="H9" s="5"/>
      <c r="I9" s="5"/>
      <c r="J9" s="5"/>
      <c r="K9" s="5"/>
    </row>
    <row r="10" spans="1:11" ht="28.5">
      <c r="A10" s="5" t="s">
        <v>117</v>
      </c>
      <c r="B10" s="5" t="s">
        <v>66</v>
      </c>
      <c r="C10" s="5" t="s">
        <v>118</v>
      </c>
      <c r="D10" s="5" t="s">
        <v>119</v>
      </c>
      <c r="E10" s="5" t="s">
        <v>21</v>
      </c>
      <c r="F10" s="5" t="s">
        <v>120</v>
      </c>
      <c r="G10" s="5" t="s">
        <v>18</v>
      </c>
      <c r="H10" s="5"/>
      <c r="I10" s="5"/>
      <c r="J10" s="5"/>
      <c r="K10" s="5"/>
    </row>
  </sheetData>
  <mergeCells count="2">
    <mergeCell ref="A1:K1"/>
    <mergeCell ref="A2:K2"/>
  </mergeCells>
  <conditionalFormatting sqref="G4:G10">
    <cfRule type="expression" dxfId="7" priority="1">
      <formula>G4="Open"</formula>
    </cfRule>
    <cfRule type="expression" dxfId="6" priority="2">
      <formula>G4="In Progress"</formula>
    </cfRule>
    <cfRule type="expression" dxfId="5" priority="3">
      <formula>OR(G4="Closed",G4="Complete",G4="Validated",G4="Mitigated")</formula>
    </cfRule>
    <cfRule type="expression" dxfId="4" priority="4">
      <formula>OR(G4="Blocked",G4="Escalated")</formula>
    </cfRule>
  </conditionalFormatting>
  <dataValidations count="1">
    <dataValidation type="list" sqref="G4:G10" xr:uid="{00000000-0002-0000-0100-000000000000}">
      <formula1>"Open,In Progress,Mitigated,Closed,Escalated,Complete,Validated,Blocked"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"/>
  <sheetViews>
    <sheetView zoomScaleNormal="100" zoomScaleSheetLayoutView="100" workbookViewId="0">
      <selection activeCell="A4" sqref="A4:XFD5"/>
    </sheetView>
  </sheetViews>
  <sheetFormatPr defaultRowHeight="14.25"/>
  <cols>
    <col min="1" max="1" width="11" style="3" customWidth="1"/>
    <col min="2" max="2" width="10" style="3" customWidth="1"/>
    <col min="3" max="3" width="13" style="3" customWidth="1"/>
    <col min="4" max="4" width="42" style="3" customWidth="1"/>
    <col min="5" max="5" width="35" style="3" customWidth="1"/>
    <col min="6" max="6" width="11" style="3" customWidth="1"/>
    <col min="7" max="7" width="20" style="3" customWidth="1"/>
    <col min="8" max="8" width="40" style="3" customWidth="1"/>
    <col min="9" max="9" width="13" style="3" customWidth="1"/>
    <col min="10" max="10" width="14" style="3" customWidth="1"/>
    <col min="11" max="11" width="18" style="3" customWidth="1"/>
    <col min="12" max="12" width="14" style="3" customWidth="1"/>
    <col min="13" max="13" width="28" style="3" customWidth="1"/>
    <col min="14" max="16384" width="9" style="3"/>
  </cols>
  <sheetData>
    <row r="1" spans="1:13" ht="27.95" customHeight="1">
      <c r="A1" s="7" t="s">
        <v>121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>
      <c r="A2" s="8" t="s">
        <v>122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8.5">
      <c r="A3" s="4" t="s">
        <v>123</v>
      </c>
      <c r="B3" s="4" t="s">
        <v>3</v>
      </c>
      <c r="C3" s="4" t="s">
        <v>4</v>
      </c>
      <c r="D3" s="4" t="s">
        <v>124</v>
      </c>
      <c r="E3" s="4" t="s">
        <v>8</v>
      </c>
      <c r="F3" s="4" t="s">
        <v>9</v>
      </c>
      <c r="G3" s="4" t="s">
        <v>10</v>
      </c>
      <c r="H3" s="4" t="s">
        <v>125</v>
      </c>
      <c r="I3" s="4" t="s">
        <v>6</v>
      </c>
      <c r="J3" s="4" t="s">
        <v>126</v>
      </c>
      <c r="K3" s="4" t="s">
        <v>127</v>
      </c>
      <c r="L3" s="4" t="s">
        <v>128</v>
      </c>
      <c r="M3" s="4" t="s">
        <v>13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tabSelected="1" zoomScaleNormal="100" zoomScaleSheetLayoutView="100" workbookViewId="0">
      <selection activeCell="G4" sqref="G4"/>
    </sheetView>
  </sheetViews>
  <sheetFormatPr defaultRowHeight="14.25"/>
  <cols>
    <col min="1" max="2" width="14" style="3" customWidth="1"/>
    <col min="3" max="3" width="32" style="3" customWidth="1"/>
    <col min="4" max="4" width="42" style="3" customWidth="1"/>
    <col min="5" max="5" width="22" style="3" customWidth="1"/>
    <col min="6" max="6" width="24" style="3" customWidth="1"/>
    <col min="7" max="7" width="14" style="3" customWidth="1"/>
    <col min="8" max="8" width="18" style="3" customWidth="1"/>
    <col min="9" max="9" width="30" style="3" customWidth="1"/>
    <col min="10" max="16384" width="9" style="3"/>
  </cols>
  <sheetData>
    <row r="1" spans="1:9" ht="27.95" customHeight="1">
      <c r="A1" s="7" t="s">
        <v>129</v>
      </c>
      <c r="B1" s="11"/>
      <c r="C1" s="11"/>
      <c r="D1" s="11"/>
      <c r="E1" s="11"/>
      <c r="F1" s="11"/>
      <c r="G1" s="11"/>
      <c r="H1" s="11"/>
      <c r="I1" s="11"/>
    </row>
    <row r="2" spans="1:9">
      <c r="A2" s="8" t="s">
        <v>130</v>
      </c>
      <c r="B2" s="11"/>
      <c r="C2" s="11"/>
      <c r="D2" s="11"/>
      <c r="E2" s="11"/>
      <c r="F2" s="11"/>
      <c r="G2" s="11"/>
      <c r="H2" s="11"/>
      <c r="I2" s="11"/>
    </row>
    <row r="3" spans="1:9" ht="28.5">
      <c r="A3" s="4" t="s">
        <v>131</v>
      </c>
      <c r="B3" s="4" t="s">
        <v>132</v>
      </c>
      <c r="C3" s="4" t="s">
        <v>72</v>
      </c>
      <c r="D3" s="4" t="s">
        <v>133</v>
      </c>
      <c r="E3" s="4" t="s">
        <v>10</v>
      </c>
      <c r="F3" s="4" t="s">
        <v>134</v>
      </c>
      <c r="G3" s="4" t="s">
        <v>6</v>
      </c>
      <c r="H3" s="4" t="s">
        <v>135</v>
      </c>
      <c r="I3" s="4" t="s">
        <v>13</v>
      </c>
    </row>
    <row r="4" spans="1:9" ht="28.5">
      <c r="A4" s="5" t="s">
        <v>136</v>
      </c>
      <c r="B4" s="5" t="s">
        <v>137</v>
      </c>
      <c r="C4" s="5" t="s">
        <v>138</v>
      </c>
      <c r="D4" s="5" t="s">
        <v>139</v>
      </c>
      <c r="E4" s="5" t="s">
        <v>89</v>
      </c>
      <c r="F4" s="5" t="s">
        <v>140</v>
      </c>
      <c r="G4" s="5" t="s">
        <v>141</v>
      </c>
      <c r="H4" s="5"/>
      <c r="I4" s="5"/>
    </row>
    <row r="5" spans="1:9" ht="28.5">
      <c r="A5" s="5" t="s">
        <v>142</v>
      </c>
      <c r="B5" s="5" t="s">
        <v>137</v>
      </c>
      <c r="C5" s="5" t="s">
        <v>143</v>
      </c>
      <c r="D5" s="5" t="s">
        <v>144</v>
      </c>
      <c r="E5" s="5" t="s">
        <v>74</v>
      </c>
      <c r="F5" s="5" t="s">
        <v>145</v>
      </c>
      <c r="G5" s="5" t="s">
        <v>31</v>
      </c>
      <c r="H5" s="5"/>
      <c r="I5" s="5"/>
    </row>
    <row r="6" spans="1:9" ht="28.5">
      <c r="A6" s="5" t="s">
        <v>146</v>
      </c>
      <c r="B6" s="5" t="s">
        <v>137</v>
      </c>
      <c r="C6" s="5" t="s">
        <v>147</v>
      </c>
      <c r="D6" s="5" t="s">
        <v>148</v>
      </c>
      <c r="E6" s="5" t="s">
        <v>74</v>
      </c>
      <c r="F6" s="5" t="s">
        <v>149</v>
      </c>
      <c r="G6" s="5" t="s">
        <v>31</v>
      </c>
      <c r="H6" s="5"/>
      <c r="I6" s="5"/>
    </row>
    <row r="7" spans="1:9" ht="28.5">
      <c r="A7" s="5" t="s">
        <v>150</v>
      </c>
      <c r="B7" s="5" t="s">
        <v>137</v>
      </c>
      <c r="C7" s="5" t="s">
        <v>151</v>
      </c>
      <c r="D7" s="5" t="s">
        <v>152</v>
      </c>
      <c r="E7" s="5" t="s">
        <v>21</v>
      </c>
      <c r="F7" s="5" t="s">
        <v>153</v>
      </c>
      <c r="G7" s="5" t="s">
        <v>18</v>
      </c>
      <c r="H7" s="5"/>
      <c r="I7" s="5"/>
    </row>
    <row r="8" spans="1:9" ht="28.5">
      <c r="A8" s="5" t="s">
        <v>154</v>
      </c>
      <c r="B8" s="5" t="s">
        <v>137</v>
      </c>
      <c r="C8" s="5" t="s">
        <v>155</v>
      </c>
      <c r="D8" s="5" t="s">
        <v>156</v>
      </c>
      <c r="E8" s="5" t="s">
        <v>21</v>
      </c>
      <c r="F8" s="5" t="s">
        <v>157</v>
      </c>
      <c r="G8" s="5" t="s">
        <v>141</v>
      </c>
      <c r="H8" s="5"/>
      <c r="I8" s="5"/>
    </row>
    <row r="9" spans="1:9" ht="28.5">
      <c r="A9" s="5" t="s">
        <v>158</v>
      </c>
      <c r="B9" s="5" t="s">
        <v>137</v>
      </c>
      <c r="C9" s="5" t="s">
        <v>159</v>
      </c>
      <c r="D9" s="5" t="s">
        <v>160</v>
      </c>
      <c r="E9" s="5" t="s">
        <v>110</v>
      </c>
      <c r="F9" s="5" t="s">
        <v>161</v>
      </c>
      <c r="G9" s="5" t="s">
        <v>31</v>
      </c>
      <c r="H9" s="5"/>
      <c r="I9" s="5"/>
    </row>
    <row r="10" spans="1:9" ht="28.5">
      <c r="A10" s="5" t="s">
        <v>162</v>
      </c>
      <c r="B10" s="5" t="s">
        <v>137</v>
      </c>
      <c r="C10" s="5" t="s">
        <v>163</v>
      </c>
      <c r="D10" s="5" t="s">
        <v>164</v>
      </c>
      <c r="E10" s="5" t="s">
        <v>74</v>
      </c>
      <c r="F10" s="5" t="s">
        <v>165</v>
      </c>
      <c r="G10" s="5" t="s">
        <v>31</v>
      </c>
      <c r="H10" s="5"/>
      <c r="I10" s="5"/>
    </row>
    <row r="11" spans="1:9" ht="28.5">
      <c r="A11" s="5" t="s">
        <v>166</v>
      </c>
      <c r="B11" s="5" t="s">
        <v>137</v>
      </c>
      <c r="C11" s="5" t="s">
        <v>167</v>
      </c>
      <c r="D11" s="5" t="s">
        <v>168</v>
      </c>
      <c r="E11" s="5" t="s">
        <v>45</v>
      </c>
      <c r="F11" s="5" t="s">
        <v>169</v>
      </c>
      <c r="G11" s="5" t="s">
        <v>31</v>
      </c>
      <c r="H11" s="5"/>
      <c r="I11" s="5"/>
    </row>
    <row r="12" spans="1:9" ht="28.5">
      <c r="A12" s="5" t="s">
        <v>170</v>
      </c>
      <c r="B12" s="5" t="s">
        <v>29</v>
      </c>
      <c r="C12" s="5" t="s">
        <v>171</v>
      </c>
      <c r="D12" s="5" t="s">
        <v>172</v>
      </c>
      <c r="E12" s="5" t="s">
        <v>33</v>
      </c>
      <c r="F12" s="5" t="s">
        <v>173</v>
      </c>
      <c r="G12" s="5" t="s">
        <v>31</v>
      </c>
      <c r="H12" s="5"/>
      <c r="I12" s="5"/>
    </row>
    <row r="13" spans="1:9" ht="43.5">
      <c r="A13" s="5" t="s">
        <v>174</v>
      </c>
      <c r="B13" s="5" t="s">
        <v>175</v>
      </c>
      <c r="C13" s="5" t="s">
        <v>176</v>
      </c>
      <c r="D13" s="5" t="s">
        <v>177</v>
      </c>
      <c r="E13" s="5" t="s">
        <v>178</v>
      </c>
      <c r="F13" s="5" t="s">
        <v>179</v>
      </c>
      <c r="G13" s="5" t="s">
        <v>31</v>
      </c>
      <c r="H13" s="5"/>
      <c r="I13" s="5"/>
    </row>
    <row r="14" spans="1:9">
      <c r="A14" s="5" t="s">
        <v>180</v>
      </c>
      <c r="B14" s="5" t="s">
        <v>175</v>
      </c>
      <c r="C14" s="5" t="s">
        <v>181</v>
      </c>
      <c r="D14" s="5" t="s">
        <v>182</v>
      </c>
      <c r="E14" s="5" t="s">
        <v>74</v>
      </c>
      <c r="F14" s="5" t="s">
        <v>179</v>
      </c>
      <c r="G14" s="5" t="s">
        <v>31</v>
      </c>
      <c r="H14" s="5"/>
      <c r="I14" s="5"/>
    </row>
    <row r="15" spans="1:9" ht="28.5">
      <c r="A15" s="5" t="s">
        <v>183</v>
      </c>
      <c r="B15" s="5" t="s">
        <v>175</v>
      </c>
      <c r="C15" s="5" t="s">
        <v>184</v>
      </c>
      <c r="D15" s="5" t="s">
        <v>185</v>
      </c>
      <c r="E15" s="5" t="s">
        <v>74</v>
      </c>
      <c r="F15" s="5" t="s">
        <v>186</v>
      </c>
      <c r="G15" s="5" t="s">
        <v>31</v>
      </c>
      <c r="H15" s="5"/>
      <c r="I15" s="5"/>
    </row>
    <row r="16" spans="1:9" ht="28.5">
      <c r="A16" s="5" t="s">
        <v>187</v>
      </c>
      <c r="B16" s="5" t="s">
        <v>175</v>
      </c>
      <c r="C16" s="5" t="s">
        <v>188</v>
      </c>
      <c r="D16" s="5" t="s">
        <v>189</v>
      </c>
      <c r="E16" s="5" t="s">
        <v>190</v>
      </c>
      <c r="F16" s="5" t="s">
        <v>191</v>
      </c>
      <c r="G16" s="5" t="s">
        <v>31</v>
      </c>
      <c r="H16" s="5"/>
      <c r="I16" s="5"/>
    </row>
    <row r="17" spans="1:9" ht="28.5">
      <c r="A17" s="5" t="s">
        <v>192</v>
      </c>
      <c r="B17" s="5" t="s">
        <v>193</v>
      </c>
      <c r="C17" s="5" t="s">
        <v>194</v>
      </c>
      <c r="D17" s="5" t="s">
        <v>195</v>
      </c>
      <c r="E17" s="5" t="s">
        <v>196</v>
      </c>
      <c r="F17" s="5" t="s">
        <v>197</v>
      </c>
      <c r="G17" s="5" t="s">
        <v>31</v>
      </c>
      <c r="H17" s="5"/>
      <c r="I17" s="5"/>
    </row>
  </sheetData>
  <mergeCells count="2">
    <mergeCell ref="A1:I1"/>
    <mergeCell ref="A2:I2"/>
  </mergeCells>
  <conditionalFormatting sqref="G4:G17">
    <cfRule type="expression" dxfId="3" priority="1">
      <formula>G4="Open"</formula>
    </cfRule>
    <cfRule type="expression" dxfId="2" priority="2">
      <formula>G4="In Progress"</formula>
    </cfRule>
    <cfRule type="expression" dxfId="1" priority="3">
      <formula>OR(G4="Closed",G4="Complete",G4="Validated",G4="Mitigated")</formula>
    </cfRule>
    <cfRule type="expression" dxfId="0" priority="4">
      <formula>OR(G4="Blocked",G4="Escalated")</formula>
    </cfRule>
  </conditionalFormatting>
  <dataValidations count="1">
    <dataValidation type="list" sqref="G4:G17" xr:uid="{00000000-0002-0000-0300-000000000000}">
      <formula1>"Open,In Progress,Mitigated,Closed,Escalated,Complete,Validated,Blocked"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zoomScaleNormal="100" zoomScaleSheetLayoutView="100" workbookViewId="0">
      <selection activeCell="C23" sqref="C23"/>
    </sheetView>
  </sheetViews>
  <sheetFormatPr defaultRowHeight="14.25"/>
  <cols>
    <col min="1" max="1" width="22" style="3" customWidth="1"/>
    <col min="2" max="2" width="38" style="3" customWidth="1"/>
    <col min="3" max="3" width="42" style="3" customWidth="1"/>
    <col min="4" max="4" width="24" style="3" customWidth="1"/>
    <col min="5" max="6" width="16" style="3" customWidth="1"/>
    <col min="7" max="7" width="42" style="3" customWidth="1"/>
    <col min="8" max="16384" width="9" style="3"/>
  </cols>
  <sheetData>
    <row r="1" spans="1:7" ht="15">
      <c r="A1" s="7" t="s">
        <v>198</v>
      </c>
      <c r="B1" s="11"/>
      <c r="C1" s="11"/>
      <c r="D1" s="11"/>
      <c r="E1" s="11"/>
      <c r="F1" s="11"/>
      <c r="G1" s="11"/>
    </row>
    <row r="3" spans="1:7" ht="28.5">
      <c r="A3" s="4" t="s">
        <v>4</v>
      </c>
      <c r="B3" s="4" t="s">
        <v>31</v>
      </c>
      <c r="C3" s="4" t="s">
        <v>18</v>
      </c>
      <c r="D3" s="4" t="s">
        <v>199</v>
      </c>
      <c r="E3" s="4" t="s">
        <v>200</v>
      </c>
      <c r="F3" s="4" t="s">
        <v>201</v>
      </c>
      <c r="G3" s="4" t="s">
        <v>202</v>
      </c>
    </row>
    <row r="4" spans="1:7">
      <c r="A4" s="6" t="s">
        <v>203</v>
      </c>
      <c r="B4" s="6">
        <f>COUNTIF(Risks!E4:E95,"Open")</f>
        <v>5</v>
      </c>
      <c r="C4" s="6">
        <f>COUNTIF(Risks!E4:E95,"In Progress")</f>
        <v>3</v>
      </c>
      <c r="D4" s="6">
        <f>COUNTIF(Risks!E4:E95,"Mitigated")+COUNTIF(Risks!E4:E95,"Closed")</f>
        <v>2</v>
      </c>
      <c r="E4" s="6">
        <f>COUNTIF(Risks!E4:E95,"Blocked")+COUNTIF(Risks!E4:E95,"Escalated")</f>
        <v>0</v>
      </c>
      <c r="F4" s="6">
        <f>SUM(B4:E4)</f>
        <v>10</v>
      </c>
      <c r="G4" s="6" t="s">
        <v>204</v>
      </c>
    </row>
    <row r="5" spans="1:7">
      <c r="A5" s="6" t="s">
        <v>205</v>
      </c>
      <c r="B5" s="6">
        <f>COUNTIF(Assumptions!G4:G100,"Open")</f>
        <v>3</v>
      </c>
      <c r="C5" s="6">
        <f>COUNTIF(Assumptions!G4:G100,"In Progress")</f>
        <v>2</v>
      </c>
      <c r="D5" s="6">
        <f>COUNTIF(Assumptions!G4:G100,"Validated")+COUNTIF(Assumptions!G4:G100,"Complete")</f>
        <v>2</v>
      </c>
      <c r="E5" s="6">
        <f>COUNTIF(Assumptions!G4:G100,"Blocked")</f>
        <v>0</v>
      </c>
      <c r="F5" s="6">
        <f>SUM(B5:E5)</f>
        <v>7</v>
      </c>
      <c r="G5" s="6" t="s">
        <v>206</v>
      </c>
    </row>
    <row r="6" spans="1:7">
      <c r="A6" s="6" t="s">
        <v>207</v>
      </c>
      <c r="B6" s="6">
        <f>COUNTIF(Issues!I4:I98,"Open")</f>
        <v>0</v>
      </c>
      <c r="C6" s="6">
        <f>COUNTIF(Issues!I4:I98,"In Progress")</f>
        <v>0</v>
      </c>
      <c r="D6" s="6">
        <f>COUNTIF(Issues!I4:I98,"Closed")</f>
        <v>0</v>
      </c>
      <c r="E6" s="6">
        <f>COUNTIF(Issues!I4:I98,"Blocked")+COUNTIF(Issues!I4:I98,"Escalated")</f>
        <v>0</v>
      </c>
      <c r="F6" s="6">
        <f>SUM(B6:E6)</f>
        <v>0</v>
      </c>
      <c r="G6" s="6" t="s">
        <v>208</v>
      </c>
    </row>
    <row r="7" spans="1:7">
      <c r="A7" s="6" t="s">
        <v>209</v>
      </c>
      <c r="B7" s="6">
        <f>COUNTIF(Dependencies!G4:G99,"Open")</f>
        <v>11</v>
      </c>
      <c r="C7" s="6">
        <f>COUNTIF(Dependencies!G4:G99,"In Progress")</f>
        <v>1</v>
      </c>
      <c r="D7" s="6">
        <f>COUNTIF(Dependencies!G4:G99,"Complete")+COUNTIF(Dependencies!G4:G99,"Validated")</f>
        <v>2</v>
      </c>
      <c r="E7" s="6">
        <f>COUNTIF(Dependencies!G4:G99,"Blocked")</f>
        <v>0</v>
      </c>
      <c r="F7" s="6">
        <f>SUM(B7:E7)</f>
        <v>14</v>
      </c>
      <c r="G7" s="6" t="s">
        <v>210</v>
      </c>
    </row>
    <row r="9" spans="1:7">
      <c r="A9" s="9" t="s">
        <v>211</v>
      </c>
      <c r="B9" s="11"/>
      <c r="C9" s="11"/>
      <c r="D9" s="11"/>
      <c r="E9" s="11"/>
      <c r="F9" s="11"/>
      <c r="G9" s="11"/>
    </row>
    <row r="10" spans="1:7">
      <c r="A10" s="4" t="s">
        <v>212</v>
      </c>
      <c r="B10" s="4" t="s">
        <v>213</v>
      </c>
      <c r="C10" s="4" t="s">
        <v>214</v>
      </c>
      <c r="D10" s="4" t="s">
        <v>10</v>
      </c>
    </row>
    <row r="11" spans="1:7">
      <c r="A11" s="3" t="s">
        <v>215</v>
      </c>
      <c r="B11" s="3" t="s">
        <v>216</v>
      </c>
      <c r="C11" s="3" t="s">
        <v>217</v>
      </c>
      <c r="D11" s="3" t="s">
        <v>218</v>
      </c>
    </row>
    <row r="12" spans="1:7">
      <c r="A12" s="3" t="s">
        <v>219</v>
      </c>
      <c r="B12" s="3" t="s">
        <v>220</v>
      </c>
      <c r="C12" s="3" t="s">
        <v>221</v>
      </c>
      <c r="D12" s="3" t="s">
        <v>222</v>
      </c>
    </row>
    <row r="13" spans="1:7">
      <c r="A13" s="3" t="s">
        <v>223</v>
      </c>
      <c r="B13" s="3" t="s">
        <v>224</v>
      </c>
      <c r="C13" s="3" t="s">
        <v>225</v>
      </c>
      <c r="D13" s="3" t="s">
        <v>226</v>
      </c>
    </row>
    <row r="14" spans="1:7">
      <c r="A14" s="3" t="s">
        <v>227</v>
      </c>
      <c r="B14" s="3" t="s">
        <v>228</v>
      </c>
      <c r="C14" s="3" t="s">
        <v>229</v>
      </c>
      <c r="D14" s="3" t="s">
        <v>230</v>
      </c>
    </row>
  </sheetData>
  <mergeCells count="2">
    <mergeCell ref="A1:G1"/>
    <mergeCell ref="A9:G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zoomScaleNormal="100" zoomScaleSheetLayoutView="100" workbookViewId="0"/>
  </sheetViews>
  <sheetFormatPr defaultRowHeight="15"/>
  <cols>
    <col min="1" max="1" width="24" customWidth="1"/>
    <col min="2" max="2" width="75" customWidth="1"/>
  </cols>
  <sheetData>
    <row r="1" spans="1:2">
      <c r="A1" s="10" t="s">
        <v>231</v>
      </c>
      <c r="B1" s="12"/>
    </row>
    <row r="3" spans="1:2">
      <c r="A3" s="2" t="s">
        <v>213</v>
      </c>
      <c r="B3" s="1" t="s">
        <v>232</v>
      </c>
    </row>
    <row r="4" spans="1:2">
      <c r="A4" s="2" t="s">
        <v>233</v>
      </c>
      <c r="B4" s="1" t="s">
        <v>234</v>
      </c>
    </row>
    <row r="5" spans="1:2">
      <c r="A5" s="2" t="s">
        <v>235</v>
      </c>
      <c r="B5" s="1" t="s">
        <v>236</v>
      </c>
    </row>
    <row r="6" spans="1:2">
      <c r="A6" s="2" t="s">
        <v>137</v>
      </c>
      <c r="B6" s="1" t="s">
        <v>237</v>
      </c>
    </row>
    <row r="7" spans="1:2">
      <c r="A7" s="2" t="s">
        <v>238</v>
      </c>
      <c r="B7" s="1" t="s">
        <v>239</v>
      </c>
    </row>
    <row r="8" spans="1:2">
      <c r="A8" s="2" t="s">
        <v>240</v>
      </c>
      <c r="B8" s="1" t="s">
        <v>241</v>
      </c>
    </row>
    <row r="9" spans="1:2">
      <c r="A9" s="2" t="s">
        <v>242</v>
      </c>
      <c r="B9" s="1" t="s">
        <v>243</v>
      </c>
    </row>
    <row r="10" spans="1:2">
      <c r="A10" s="2" t="s">
        <v>244</v>
      </c>
      <c r="B10" s="1" t="s">
        <v>245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2B49DDE58C44BA0A4844886FD6AD8" ma:contentTypeVersion="5" ma:contentTypeDescription="Create a new document." ma:contentTypeScope="" ma:versionID="ba6709497d9746726a31d73fe7c57e1e">
  <xsd:schema xmlns:xsd="http://www.w3.org/2001/XMLSchema" xmlns:xs="http://www.w3.org/2001/XMLSchema" xmlns:p="http://schemas.microsoft.com/office/2006/metadata/properties" xmlns:ns1="http://schemas.microsoft.com/sharepoint/v3" xmlns:ns2="b4cfb782-1074-49b9-b0d7-503320a0b712" targetNamespace="http://schemas.microsoft.com/office/2006/metadata/properties" ma:root="true" ma:fieldsID="09dc4f5dfe08d06184168e433efe6c49" ns1:_="" ns2:_="">
    <xsd:import namespace="http://schemas.microsoft.com/sharepoint/v3"/>
    <xsd:import namespace="b4cfb782-1074-49b9-b0d7-503320a0b7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fb782-1074-49b9-b0d7-503320a0b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091138-5F6E-4A15-9697-A7C017A85B7D}"/>
</file>

<file path=customXml/itemProps2.xml><?xml version="1.0" encoding="utf-8"?>
<ds:datastoreItem xmlns:ds="http://schemas.openxmlformats.org/officeDocument/2006/customXml" ds:itemID="{C2B591E2-D015-4196-8B49-D8A744B4FD5D}"/>
</file>

<file path=customXml/itemProps3.xml><?xml version="1.0" encoding="utf-8"?>
<ds:datastoreItem xmlns:ds="http://schemas.openxmlformats.org/officeDocument/2006/customXml" ds:itemID="{F55EFB76-E088-4866-B606-EDB7117849A2}"/>
</file>

<file path=docMetadata/LabelInfo.xml><?xml version="1.0" encoding="utf-8"?>
<clbl:labelList xmlns:clbl="http://schemas.microsoft.com/office/2020/mipLabelMetadata">
  <clbl:label id="{02513295-34d7-4ce7-95f0-d6d90e122a36}" enabled="1" method="Standard" siteId="{2e0cb644-c094-41d7-ab3d-43201da2443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Antonio Machado</cp:lastModifiedBy>
  <cp:revision/>
  <dcterms:created xsi:type="dcterms:W3CDTF">2026-09-07T13:36:34Z</dcterms:created>
  <dcterms:modified xsi:type="dcterms:W3CDTF">2026-09-08T19:24:20Z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0x010100EA62B49DDE58C44BA0A4844886FD6AD8</vt:lpwstr>
  </property>
</Properties>
</file>